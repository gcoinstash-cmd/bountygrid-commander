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ecutive Dashboard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 Statement" sheetId="4" state="visible" r:id="rId4"/>
    <sheet xmlns:r="http://schemas.openxmlformats.org/officeDocument/2006/relationships" name="Transaction Ledger" sheetId="5" state="visible" r:id="rId5"/>
    <sheet xmlns:r="http://schemas.openxmlformats.org/officeDocument/2006/relationships" name="Submissions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"/>
    <numFmt numFmtId="166" formatCode="$#,##0.00"/>
    <numFmt numFmtId="167" formatCode="yyyy-mm-dd h:mm:ss"/>
  </numFmts>
  <fonts count="6">
    <font>
      <name val="Arial"/>
      <color rgb="FF000000"/>
      <sz val="10"/>
      <scheme val="minor"/>
    </font>
    <font>
      <name val="Montserrat"/>
      <b val="1"/>
      <color rgb="FFFFFFFF"/>
      <sz val="11"/>
    </font>
    <font>
      <name val="Roboto"/>
      <color rgb="FF1A1B1F"/>
      <sz val="10"/>
    </font>
    <font>
      <name val="Arial"/>
      <color theme="1"/>
      <scheme val="minor"/>
    </font>
    <font>
      <name val="Arial"/>
      <b val="1"/>
      <color theme="1"/>
      <scheme val="minor"/>
    </font>
    <font>
      <color rgb="FF0000FF"/>
      <u val="single"/>
    </font>
  </fonts>
  <fills count="4">
    <fill>
      <patternFill/>
    </fill>
    <fill>
      <patternFill patternType="lightGray"/>
    </fill>
    <fill>
      <patternFill patternType="solid">
        <fgColor rgb="FF465D92"/>
        <bgColor rgb="FF465D92"/>
      </patternFill>
    </fill>
    <fill>
      <patternFill patternType="solid">
        <fgColor rgb="FFF9F8FF"/>
        <bgColor rgb="FFF9F8FF"/>
      </patternFill>
    </fill>
  </fills>
  <borders count="1">
    <border/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3" borderId="0" pivotButton="0" quotePrefix="0" xfId="0"/>
    <xf numFmtId="164" fontId="2" fillId="3" borderId="0" pivotButton="0" quotePrefix="0" xfId="0"/>
    <xf numFmtId="164" fontId="2" fillId="3" borderId="0" pivotButton="0" quotePrefix="0" xfId="0"/>
    <xf numFmtId="17" fontId="1" fillId="2" borderId="0" pivotButton="0" quotePrefix="0" xfId="0"/>
    <xf numFmtId="10" fontId="2" fillId="3" borderId="0" pivotButton="0" quotePrefix="0" xfId="0"/>
    <xf numFmtId="0" fontId="2" fillId="3" borderId="0" pivotButton="0" quotePrefix="0" xfId="0"/>
    <xf numFmtId="0" fontId="3" fillId="0" borderId="0" pivotButton="0" quotePrefix="0" xfId="0"/>
    <xf numFmtId="165" fontId="2" fillId="3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166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0" fillId="0" borderId="0" pivotButton="0" quotePrefix="0" xfId="0"/>
    <xf numFmtId="17" fontId="1" fillId="2" borderId="0" pivotButton="0" quotePrefix="0" xfId="0"/>
    <xf numFmtId="165" fontId="2" fillId="3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None</author>
  </authors>
  <commentList>
    <comment ref="B5" authorId="0" shapeId="0">
      <text>
        <t>8 open PRs totaling $850.00:
1. PR #3739: $50.00 (claude-builders-bounty)
2. PR #3740: $75.00 (claude-builders-bounty)
3. PR #3741: $100.00 (claude-builders-bounty)
4. PR #1016: $100.00 (projectdiscovery/dnsx)
5. PR #3758: $150.00 (claude-builders-bounty)
6. PR #3760: $200.00 (claude-builders-bounty)
7. PR #2560: $75.00 (projectdiscovery/httpx)
8. PR #837: $100.00 (tscircuit/schematic-trace-solver)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https://github.com/documenso/documenso/pull/3304" TargetMode="External" Id="rId1"/><Relationship Type="http://schemas.openxmlformats.org/officeDocument/2006/relationships/hyperlink" Target="https://github.com/CapSoftware/Cap/pull/2145" TargetMode="External" Id="rId2"/><Relationship Type="http://schemas.openxmlformats.org/officeDocument/2006/relationships/hyperlink" Target="https://github.com/keephq/keep/pull/6735" TargetMode="External" Id="rId3"/><Relationship Type="http://schemas.openxmlformats.org/officeDocument/2006/relationships/hyperlink" Target="https://github.com/Permify/permify/pull/3096" TargetMode="External" Id="rId4"/><Relationship Type="http://schemas.openxmlformats.org/officeDocument/2006/relationships/hyperlink" Target="https://github.com/documenso/documenso/pull/3310" TargetMode="External" Id="rId5"/><Relationship Type="http://schemas.openxmlformats.org/officeDocument/2006/relationships/hyperlink" Target="https://github.com/Cap-go/capacitor-updater/pull/868" TargetMode="External" Id="rId6"/><Relationship Type="http://schemas.openxmlformats.org/officeDocument/2006/relationships/hyperlink" Target="http://cal.com" TargetMode="External" Id="rId7"/><Relationship Type="http://schemas.openxmlformats.org/officeDocument/2006/relationships/hyperlink" Target="https://github.com/Lilly-Protocol/lily-frontend/pull/178" TargetMode="External" Id="rId8"/><Relationship Type="http://schemas.openxmlformats.org/officeDocument/2006/relationships/hyperlink" Target="https://github.com/Lilly-Protocol/lily-frontend/pull/180" TargetMode="External" Id="rId9"/><Relationship Type="http://schemas.openxmlformats.org/officeDocument/2006/relationships/hyperlink" Target="https://github.com/Lilly-Protocol/lily-backend/pull/227" TargetMode="External" Id="rId10"/><Relationship Type="http://schemas.openxmlformats.org/officeDocument/2006/relationships/hyperlink" Target="https://github.com/Lilly-Protocol/lily-frontend/pull/181" TargetMode="External" Id="rId11"/><Relationship Type="http://schemas.openxmlformats.org/officeDocument/2006/relationships/hyperlink" Target="https://github.com/Lilly-Protocol/lily-frontend/pull/182" TargetMode="External" Id="rId12"/><Relationship Type="http://schemas.openxmlformats.org/officeDocument/2006/relationships/hyperlink" Target="https://github.com/Lilly-Protocol/lily-frontend/pull/178" TargetMode="External" Id="rId13"/><Relationship Type="http://schemas.openxmlformats.org/officeDocument/2006/relationships/hyperlink" Target="https://github.com/Lilly-Protocol/lily-frontend/pull/180" TargetMode="External" Id="rId14"/><Relationship Type="http://schemas.openxmlformats.org/officeDocument/2006/relationships/hyperlink" Target="https://github.com/Lilly-Protocol/lily-backend/pull/227" TargetMode="External" Id="rId15"/><Relationship Type="http://schemas.openxmlformats.org/officeDocument/2006/relationships/hyperlink" Target="https://github.com/Lilly-Protocol/lily-frontend/pull/181" TargetMode="External" Id="rId16"/><Relationship Type="http://schemas.openxmlformats.org/officeDocument/2006/relationships/hyperlink" Target="https://github.com/Lilly-Protocol/lily-frontend/pull/182" TargetMode="External" Id="rId17"/><Relationship Type="http://schemas.openxmlformats.org/officeDocument/2006/relationships/hyperlink" Target="https://github.com/Lilly-Protocol/lily-frontend/pull/183" TargetMode="External" Id="rId18"/><Relationship Type="http://schemas.openxmlformats.org/officeDocument/2006/relationships/hyperlink" Target="https://github.com/Lilly-Protocol/lily-frontend/pull/184" TargetMode="External" Id="rId19"/><Relationship Type="http://schemas.openxmlformats.org/officeDocument/2006/relationships/hyperlink" Target="https://github.com/Lilly-Protocol/lily-frontend/pull/185" TargetMode="External" Id="rId20"/><Relationship Type="http://schemas.openxmlformats.org/officeDocument/2006/relationships/hyperlink" Target="https://github.com/Lilly-Protocol/lily-frontend/pull/186" TargetMode="External" Id="rId21"/><Relationship Type="http://schemas.openxmlformats.org/officeDocument/2006/relationships/hyperlink" Target="https://github.com/Lilly-Protocol/lily-frontend/pull/185" TargetMode="External" Id="rId22"/><Relationship Type="http://schemas.openxmlformats.org/officeDocument/2006/relationships/hyperlink" Target="https://github.com/Lilly-Protocol/lily-frontend/pull/178" TargetMode="External" Id="rId23"/><Relationship Type="http://schemas.openxmlformats.org/officeDocument/2006/relationships/hyperlink" Target="https://github.com/Lilly-Protocol/lily-frontend/pull/180" TargetMode="External" Id="rId24"/><Relationship Type="http://schemas.openxmlformats.org/officeDocument/2006/relationships/hyperlink" Target="https://github.com/Lilly-Protocol/lily-backend/pull/227" TargetMode="External" Id="rId25"/><Relationship Type="http://schemas.openxmlformats.org/officeDocument/2006/relationships/hyperlink" Target="https://github.com/Lilly-Protocol/lily-frontend/pull/181" TargetMode="External" Id="rId26"/><Relationship Type="http://schemas.openxmlformats.org/officeDocument/2006/relationships/hyperlink" Target="https://github.com/Lilly-Protocol/lily-frontend/pull/182" TargetMode="External" Id="rId27"/><Relationship Type="http://schemas.openxmlformats.org/officeDocument/2006/relationships/hyperlink" Target="https://github.com/Lilly-Protocol/lily-frontend/pull/183" TargetMode="External" Id="rId28"/><Relationship Type="http://schemas.openxmlformats.org/officeDocument/2006/relationships/hyperlink" Target="https://github.com/Lilly-Protocol/lily-frontend/pull/184" TargetMode="External" Id="rId29"/><Relationship Type="http://schemas.openxmlformats.org/officeDocument/2006/relationships/hyperlink" Target="https://github.com/Lilly-Protocol/lily-frontend/pull/185" TargetMode="External" Id="rId30"/><Relationship Type="http://schemas.openxmlformats.org/officeDocument/2006/relationships/hyperlink" Target="https://github.com/Lilly-Protocol/lily-frontend/pull/186" TargetMode="External" Id="rId31"/><Relationship Type="http://schemas.openxmlformats.org/officeDocument/2006/relationships/hyperlink" Target="https://github.com/Lilly-Protocol/lily-frontend/pull/187" TargetMode="External" Id="rId32"/><Relationship Type="http://schemas.openxmlformats.org/officeDocument/2006/relationships/hyperlink" Target="https://github.com/Lilly-Protocol/lily-frontend/pull/178" TargetMode="External" Id="rId33"/><Relationship Type="http://schemas.openxmlformats.org/officeDocument/2006/relationships/hyperlink" Target="https://github.com/Lilly-Protocol/lily-frontend/pull/180" TargetMode="External" Id="rId34"/><Relationship Type="http://schemas.openxmlformats.org/officeDocument/2006/relationships/hyperlink" Target="https://github.com/Lilly-Protocol/lily-backend/pull/227" TargetMode="External" Id="rId35"/><Relationship Type="http://schemas.openxmlformats.org/officeDocument/2006/relationships/hyperlink" Target="https://github.com/Lilly-Protocol/lily-frontend/pull/181" TargetMode="External" Id="rId36"/><Relationship Type="http://schemas.openxmlformats.org/officeDocument/2006/relationships/hyperlink" Target="https://github.com/Lilly-Protocol/lily-frontend/pull/182" TargetMode="External" Id="rId37"/><Relationship Type="http://schemas.openxmlformats.org/officeDocument/2006/relationships/hyperlink" Target="https://github.com/Lilly-Protocol/lily-frontend/pull/183" TargetMode="External" Id="rId38"/><Relationship Type="http://schemas.openxmlformats.org/officeDocument/2006/relationships/hyperlink" Target="https://github.com/Lilly-Protocol/lily-frontend/pull/184" TargetMode="External" Id="rId39"/><Relationship Type="http://schemas.openxmlformats.org/officeDocument/2006/relationships/hyperlink" Target="https://github.com/Lilly-Protocol/lily-frontend/pull/185" TargetMode="External" Id="rId40"/><Relationship Type="http://schemas.openxmlformats.org/officeDocument/2006/relationships/hyperlink" Target="https://github.com/Lilly-Protocol/lily-frontend/pull/186" TargetMode="External" Id="rId41"/><Relationship Type="http://schemas.openxmlformats.org/officeDocument/2006/relationships/hyperlink" Target="https://github.com/Lilly-Protocol/lily-frontend/pull/187" TargetMode="External" Id="rId42"/><Relationship Type="http://schemas.openxmlformats.org/officeDocument/2006/relationships/hyperlink" Target="https://github.com/OphirPay/OphirPay/pull/417" TargetMode="External" Id="rId43"/><Relationship Type="http://schemas.openxmlformats.org/officeDocument/2006/relationships/hyperlink" Target="https://github.com/OphirPay/OphirPay/pull/417" TargetMode="External" Id="rId44"/><Relationship Type="http://schemas.openxmlformats.org/officeDocument/2006/relationships/hyperlink" Target="https://github.com/Lilly-Protocol/lily-frontend/pull/178" TargetMode="External" Id="rId45"/><Relationship Type="http://schemas.openxmlformats.org/officeDocument/2006/relationships/hyperlink" Target="https://github.com/Lilly-Protocol/lily-frontend/pull/180" TargetMode="External" Id="rId46"/><Relationship Type="http://schemas.openxmlformats.org/officeDocument/2006/relationships/hyperlink" Target="https://github.com/Lilly-Protocol/lily-backend/pull/227" TargetMode="External" Id="rId47"/><Relationship Type="http://schemas.openxmlformats.org/officeDocument/2006/relationships/hyperlink" Target="https://github.com/Lilly-Protocol/lily-frontend/pull/181" TargetMode="External" Id="rId48"/><Relationship Type="http://schemas.openxmlformats.org/officeDocument/2006/relationships/hyperlink" Target="https://github.com/Lilly-Protocol/lily-frontend/pull/182" TargetMode="External" Id="rId49"/><Relationship Type="http://schemas.openxmlformats.org/officeDocument/2006/relationships/hyperlink" Target="https://github.com/Lilly-Protocol/lily-frontend/pull/183" TargetMode="External" Id="rId50"/><Relationship Type="http://schemas.openxmlformats.org/officeDocument/2006/relationships/hyperlink" Target="https://github.com/Lilly-Protocol/lily-frontend/pull/184" TargetMode="External" Id="rId51"/><Relationship Type="http://schemas.openxmlformats.org/officeDocument/2006/relationships/hyperlink" Target="https://github.com/Lilly-Protocol/lily-frontend/pull/185" TargetMode="External" Id="rId52"/><Relationship Type="http://schemas.openxmlformats.org/officeDocument/2006/relationships/hyperlink" Target="https://github.com/Lilly-Protocol/lily-frontend/pull/186" TargetMode="External" Id="rId53"/><Relationship Type="http://schemas.openxmlformats.org/officeDocument/2006/relationships/hyperlink" Target="https://github.com/Lilly-Protocol/lily-frontend/pull/187" TargetMode="External" Id="rId54"/><Relationship Type="http://schemas.openxmlformats.org/officeDocument/2006/relationships/hyperlink" Target="http://cal.com" TargetMode="External" Id="rId55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14"/>
  <sheetViews>
    <sheetView workbookViewId="0">
      <selection activeCell="A1" sqref="A1"/>
    </sheetView>
  </sheetViews>
  <sheetFormatPr baseColWidth="8" defaultColWidth="12.63" defaultRowHeight="15.75" customHeight="1"/>
  <cols>
    <col width="42.25" customWidth="1" style="19" min="1" max="1"/>
    <col width="34.25" customWidth="1" style="19" min="2" max="2"/>
    <col width="5.25" customWidth="1" style="19" min="3" max="3"/>
    <col width="10.63" customWidth="1" style="19" min="4" max="4"/>
  </cols>
  <sheetData>
    <row r="1">
      <c r="A1" s="1" t="inlineStr">
        <is>
          <t>Total Revenue YTD</t>
        </is>
      </c>
      <c r="B1" s="4" t="n">
        <v>38505</v>
      </c>
    </row>
    <row r="2">
      <c r="A2" s="1" t="inlineStr">
        <is>
          <t>Gross Profit Margin</t>
        </is>
      </c>
      <c r="B2" s="6" t="n">
        <v>1</v>
      </c>
    </row>
    <row r="3">
      <c r="A3" s="1" t="inlineStr">
        <is>
          <t>Net Income YTD</t>
        </is>
      </c>
      <c r="B3" s="4" t="n">
        <v>31655</v>
      </c>
    </row>
    <row r="4">
      <c r="A4" s="1" t="inlineStr">
        <is>
          <t>Current Cash Balance</t>
        </is>
      </c>
      <c r="B4" s="4" t="n">
        <v>5430</v>
      </c>
    </row>
    <row r="5">
      <c r="A5" s="1" t="inlineStr">
        <is>
          <t>Accounts Receivable</t>
        </is>
      </c>
      <c r="B5" s="4" t="n">
        <v>33075</v>
      </c>
    </row>
    <row r="6">
      <c r="A6" s="1" t="inlineStr">
        <is>
          <t>Monthly Recurring Revenue Target (June 2027)</t>
        </is>
      </c>
      <c r="B6" s="4" t="n">
        <v>62000</v>
      </c>
    </row>
    <row r="7">
      <c r="A7" s="17" t="inlineStr">
        <is>
          <t>Total Tracked Submissions</t>
        </is>
      </c>
      <c r="B7" s="17" t="n">
        <v>267</v>
      </c>
    </row>
    <row r="8">
      <c r="A8" s="17" t="inlineStr">
        <is>
          <t>Annual Financial Comparison &amp; Forecast</t>
        </is>
      </c>
    </row>
    <row r="9">
      <c r="A9" s="1" t="inlineStr">
        <is>
          <t>Metric</t>
        </is>
      </c>
      <c r="B9" s="1" t="inlineStr">
        <is>
          <t>2026 (Actual + Forecast)</t>
        </is>
      </c>
      <c r="C9" s="1" t="inlineStr">
        <is>
          <t>2027 (Forecast)</t>
        </is>
      </c>
      <c r="D9" s="1" t="inlineStr">
        <is>
          <t>YoY Growth</t>
        </is>
      </c>
    </row>
    <row r="10">
      <c r="A10" s="7" t="inlineStr">
        <is>
          <t>Total Revenue</t>
        </is>
      </c>
      <c r="B10" s="4" t="n">
        <v>151605</v>
      </c>
      <c r="C10" s="4" t="n">
        <v>1080000</v>
      </c>
      <c r="D10" s="6" t="inlineStr">
        <is>
          <t>+612.4%</t>
        </is>
      </c>
    </row>
    <row r="11">
      <c r="A11" s="7" t="inlineStr">
        <is>
          <t>Gross Profit</t>
        </is>
      </c>
      <c r="B11" s="4" t="n">
        <v>151605</v>
      </c>
      <c r="C11" s="4" t="n">
        <v>1080000</v>
      </c>
      <c r="D11" s="6" t="inlineStr">
        <is>
          <t>+612.4%</t>
        </is>
      </c>
    </row>
    <row r="12">
      <c r="A12" s="7" t="inlineStr">
        <is>
          <t>Operating Expenses</t>
        </is>
      </c>
      <c r="B12" s="4" t="n">
        <v>10000</v>
      </c>
      <c r="C12" s="4" t="n">
        <v>60000</v>
      </c>
      <c r="D12" s="6" t="inlineStr">
        <is>
          <t>+500.0%</t>
        </is>
      </c>
    </row>
    <row r="13">
      <c r="A13" s="7" t="inlineStr">
        <is>
          <t>EBITDA</t>
        </is>
      </c>
      <c r="B13" s="4" t="n">
        <v>141605</v>
      </c>
      <c r="C13" s="4" t="n">
        <v>1020000</v>
      </c>
      <c r="D13" s="6" t="inlineStr">
        <is>
          <t>+620.3%</t>
        </is>
      </c>
    </row>
    <row r="14">
      <c r="A14" s="0" t="inlineStr">
        <is>
          <t>Net Income</t>
        </is>
      </c>
      <c r="B14" s="0" t="n">
        <v>141605</v>
      </c>
      <c r="C14" s="0" t="n">
        <v>1020000</v>
      </c>
      <c r="D14" s="0" t="inlineStr">
        <is>
          <t>+620.3%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18"/>
  <sheetViews>
    <sheetView workbookViewId="0">
      <selection activeCell="A1" sqref="A1"/>
    </sheetView>
  </sheetViews>
  <sheetFormatPr baseColWidth="8" defaultColWidth="12.63" defaultRowHeight="15.75" customHeight="1"/>
  <cols>
    <col width="25.25" customWidth="1" style="19" min="1" max="1"/>
    <col width="6.63" customWidth="1" style="19" min="2" max="3"/>
    <col width="6.88" customWidth="1" style="19" min="4" max="4"/>
    <col width="6.5" customWidth="1" style="19" min="5" max="5"/>
    <col width="7.13" customWidth="1" style="19" min="6" max="6"/>
    <col width="6.63" customWidth="1" style="19" min="7" max="7"/>
    <col width="6.13" customWidth="1" style="19" min="8" max="8"/>
    <col width="6.88" customWidth="1" style="19" min="9" max="9"/>
    <col width="6.75" customWidth="1" style="19" min="10" max="10"/>
    <col width="6.5" customWidth="1" style="19" min="11" max="11"/>
    <col width="6.88" customWidth="1" style="19" min="12" max="12"/>
    <col width="6.75" customWidth="1" style="19" min="13" max="13"/>
    <col width="9.380000000000001" customWidth="1" style="19" min="14" max="14"/>
    <col width="6.63" customWidth="1" style="19" min="15" max="16"/>
    <col width="6.88" customWidth="1" style="19" min="17" max="17"/>
    <col width="6.5" customWidth="1" style="19" min="18" max="18"/>
    <col width="7.13" customWidth="1" style="19" min="19" max="19"/>
    <col width="6.63" customWidth="1" style="19" min="20" max="20"/>
    <col width="6.13" customWidth="1" style="19" min="21" max="21"/>
    <col width="6.88" customWidth="1" style="19" min="22" max="22"/>
    <col width="6.75" customWidth="1" style="19" min="23" max="23"/>
    <col width="6.5" customWidth="1" style="19" min="24" max="24"/>
    <col width="6.88" customWidth="1" style="19" min="25" max="25"/>
    <col width="6.75" customWidth="1" style="19" min="26" max="26"/>
    <col width="9.380000000000001" customWidth="1" style="19" min="27" max="27"/>
  </cols>
  <sheetData>
    <row r="1">
      <c r="A1" s="1" t="inlineStr">
        <is>
          <t>Category</t>
        </is>
      </c>
      <c r="B1" s="20" t="n">
        <v>46023</v>
      </c>
      <c r="C1" s="20" t="n">
        <v>46054</v>
      </c>
      <c r="D1" s="20" t="n">
        <v>46082</v>
      </c>
      <c r="E1" s="20" t="n">
        <v>46113</v>
      </c>
      <c r="F1" s="20" t="n">
        <v>46143</v>
      </c>
      <c r="G1" s="20" t="n">
        <v>46174</v>
      </c>
      <c r="H1" s="20" t="n">
        <v>46204</v>
      </c>
      <c r="I1" s="20" t="n">
        <v>46235</v>
      </c>
      <c r="J1" s="20" t="n">
        <v>46266</v>
      </c>
      <c r="K1" s="20" t="n">
        <v>46296</v>
      </c>
      <c r="L1" s="20" t="n">
        <v>46327</v>
      </c>
      <c r="M1" s="20" t="n">
        <v>46357</v>
      </c>
      <c r="N1" s="1" t="inlineStr">
        <is>
          <t>2026 Total</t>
        </is>
      </c>
      <c r="O1" s="20" t="n">
        <v>46388</v>
      </c>
      <c r="P1" s="20" t="n">
        <v>46419</v>
      </c>
      <c r="Q1" s="20" t="n">
        <v>46447</v>
      </c>
      <c r="R1" s="20" t="n">
        <v>46478</v>
      </c>
      <c r="S1" s="20" t="n">
        <v>46508</v>
      </c>
      <c r="T1" s="20" t="n">
        <v>46539</v>
      </c>
      <c r="U1" s="20" t="n">
        <v>46569</v>
      </c>
      <c r="V1" s="20" t="n">
        <v>46600</v>
      </c>
      <c r="W1" s="20" t="n">
        <v>46631</v>
      </c>
      <c r="X1" s="20" t="n">
        <v>46661</v>
      </c>
      <c r="Y1" s="20" t="n">
        <v>46692</v>
      </c>
      <c r="Z1" s="20" t="n">
        <v>46722</v>
      </c>
      <c r="AA1" s="1" t="inlineStr">
        <is>
          <t>2027 Total</t>
        </is>
      </c>
    </row>
    <row r="2">
      <c r="A2" s="7" t="inlineStr">
        <is>
          <t>Revenue</t>
        </is>
      </c>
      <c r="B2" s="4" t="n"/>
      <c r="C2" s="4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</row>
    <row r="3">
      <c r="A3" s="7" t="inlineStr">
        <is>
          <t>Public Bounties</t>
        </is>
      </c>
      <c r="B3" s="4">
        <f>IF(B$1="2026 Total", SUM($B3:M3), IF(B$1="2027 Total", SUM($O3:Z3), SUMIFS('Transaction Ledger'!$G:$G, 'Transaction Ledger'!$H:$H, "Bounty Revenue", 'Transaction Ledger'!$A:$A, "&gt;="&amp;B$1, 'Transaction Ledger'!$A:$A, "&lt;="&amp;EOMONTH(B$1,0))))</f>
        <v/>
      </c>
      <c r="C3" s="4">
        <f>IF(C$1="2026 Total", SUM($B3:N3), IF(C$1="2027 Total", SUM($O3:AA3), SUMIFS('Transaction Ledger'!$G:$G, 'Transaction Ledger'!$H:$H, "Bounty Revenue", 'Transaction Ledger'!$A:$A, "&gt;="&amp;C$1, 'Transaction Ledger'!$A:$A, "&lt;="&amp;EOMONTH(C$1,0))))</f>
        <v/>
      </c>
      <c r="D3" s="4">
        <f>IF(D$1="2026 Total", SUM($B3:O3), IF(D$1="2027 Total", SUM($O3:AB3), SUMIFS('Transaction Ledger'!$G:$G, 'Transaction Ledger'!$H:$H, "Bounty Revenue", 'Transaction Ledger'!$A:$A, "&gt;="&amp;D$1, 'Transaction Ledger'!$A:$A, "&lt;="&amp;EOMONTH(D$1,0))))</f>
        <v/>
      </c>
      <c r="E3" s="4">
        <f>IF(E$1="2026 Total", SUM($B3:P3), IF(E$1="2027 Total", SUM($O3:AC3), SUMIFS('Transaction Ledger'!$G:$G, 'Transaction Ledger'!$H:$H, "Bounty Revenue", 'Transaction Ledger'!$A:$A, "&gt;="&amp;E$1, 'Transaction Ledger'!$A:$A, "&lt;="&amp;EOMONTH(E$1,0))))</f>
        <v/>
      </c>
      <c r="F3" s="4">
        <f>IF(F$1="2026 Total", SUM($B3:Q3), IF(F$1="2027 Total", SUM($O3:AD3), SUMIFS('Transaction Ledger'!$G:$G, 'Transaction Ledger'!$H:$H, "Bounty Revenue", 'Transaction Ledger'!$A:$A, "&gt;="&amp;F$1, 'Transaction Ledger'!$A:$A, "&lt;="&amp;EOMONTH(F$1,0))))</f>
        <v/>
      </c>
      <c r="G3" s="4">
        <f>IF(G$1="2026 Total", SUM($B3:R3), IF(G$1="2027 Total", SUM($O3:AE3), SUMIFS('Transaction Ledger'!$G:$G, 'Transaction Ledger'!$H:$H, "Bounty Revenue", 'Transaction Ledger'!$A:$A, "&gt;="&amp;G$1, 'Transaction Ledger'!$A:$A, "&lt;="&amp;EOMONTH(G$1,0))))</f>
        <v/>
      </c>
      <c r="H3" s="4">
        <f>IF(H$1="2026 Total", SUM($B3:S3), IF(H$1="2027 Total", SUM($O3:AF3), SUMIFS('Transaction Ledger'!$G:$G, 'Transaction Ledger'!$H:$H, "Bounty Revenue", 'Transaction Ledger'!$A:$A, "&gt;="&amp;H$1, 'Transaction Ledger'!$A:$A, "&lt;="&amp;EOMONTH(H$1,0))))</f>
        <v/>
      </c>
      <c r="I3" s="4" t="n">
        <v>27205</v>
      </c>
      <c r="J3" s="4" t="n">
        <v>22000</v>
      </c>
      <c r="K3" s="4" t="n">
        <v>26000</v>
      </c>
      <c r="L3" s="4" t="n">
        <v>28000</v>
      </c>
      <c r="M3" s="4" t="n">
        <v>30000</v>
      </c>
      <c r="N3" s="4" t="n">
        <v>116605</v>
      </c>
      <c r="O3" s="4" t="n">
        <v>32000</v>
      </c>
      <c r="P3" s="4" t="n">
        <v>34000</v>
      </c>
      <c r="Q3" s="4" t="n">
        <v>35000</v>
      </c>
      <c r="R3" s="4" t="n">
        <v>36000</v>
      </c>
      <c r="S3" s="4" t="n">
        <v>37000</v>
      </c>
      <c r="T3" s="4" t="n">
        <v>38000</v>
      </c>
      <c r="U3" s="4" t="n">
        <v>38000</v>
      </c>
      <c r="V3" s="4" t="n">
        <v>38000</v>
      </c>
      <c r="W3" s="4" t="n">
        <v>38000</v>
      </c>
      <c r="X3" s="4" t="n">
        <v>38000</v>
      </c>
      <c r="Y3" s="4" t="n">
        <v>38000</v>
      </c>
      <c r="Z3" s="4" t="n">
        <v>38000</v>
      </c>
      <c r="AA3" s="4" t="n">
        <v>440000</v>
      </c>
    </row>
    <row r="4">
      <c r="A4" s="7" t="inlineStr">
        <is>
          <t>Codebase Maintenance Retainers</t>
        </is>
      </c>
      <c r="B4" s="4">
        <f>IF(B$1="2026 Total", SUM($B3:M3), IF(B$1="2027 Total", SUM($O3:Z3), SUMIFS('Transaction Ledger'!$G:$G, 'Transaction Ledger'!$H:$H, "Retainer Revenue", 'Transaction Ledger'!$A:$A, "&gt;="&amp;B$1, 'Transaction Ledger'!$A:$A, "&lt;="&amp;EOMONTH(B$1,0))))</f>
        <v/>
      </c>
      <c r="C4" s="4">
        <f>IF(C$1="2026 Total", SUM($B3:N3), IF(C$1="2027 Total", SUM($O3:AA3), SUMIFS('Transaction Ledger'!$G:$G, 'Transaction Ledger'!$H:$H, "Retainer Revenue", 'Transaction Ledger'!$A:$A, "&gt;="&amp;C$1, 'Transaction Ledger'!$A:$A, "&lt;="&amp;EOMONTH(C$1,0))))</f>
        <v/>
      </c>
      <c r="D4" s="4">
        <f>IF(D$1="2026 Total", SUM($B3:O3), IF(D$1="2027 Total", SUM($O3:AB3), SUMIFS('Transaction Ledger'!$G:$G, 'Transaction Ledger'!$H:$H, "Retainer Revenue", 'Transaction Ledger'!$A:$A, "&gt;="&amp;D$1, 'Transaction Ledger'!$A:$A, "&lt;="&amp;EOMONTH(D$1,0))))</f>
        <v/>
      </c>
      <c r="E4" s="4">
        <f>IF(E$1="2026 Total", SUM($B3:P3), IF(E$1="2027 Total", SUM($O3:AC3), SUMIFS('Transaction Ledger'!$G:$G, 'Transaction Ledger'!$H:$H, "Retainer Revenue", 'Transaction Ledger'!$A:$A, "&gt;="&amp;E$1, 'Transaction Ledger'!$A:$A, "&lt;="&amp;EOMONTH(E$1,0))))</f>
        <v/>
      </c>
      <c r="F4" s="4">
        <f>IF(F$1="2026 Total", SUM($B3:Q3), IF(F$1="2027 Total", SUM($O3:AD3), SUMIFS('Transaction Ledger'!$G:$G, 'Transaction Ledger'!$H:$H, "Retainer Revenue", 'Transaction Ledger'!$A:$A, "&gt;="&amp;F$1, 'Transaction Ledger'!$A:$A, "&lt;="&amp;EOMONTH(F$1,0))))</f>
        <v/>
      </c>
      <c r="G4" s="4">
        <f>IF(G$1="2026 Total", SUM($B3:R3), IF(G$1="2027 Total", SUM($O3:AE3), SUMIFS('Transaction Ledger'!$G:$G, 'Transaction Ledger'!$H:$H, "Retainer Revenue", 'Transaction Ledger'!$A:$A, "&gt;="&amp;G$1, 'Transaction Ledger'!$A:$A, "&lt;="&amp;EOMONTH(G$1,0))))</f>
        <v/>
      </c>
      <c r="H4" s="4">
        <f>IF(H$1="2026 Total", SUM($B3:S3), IF(H$1="2027 Total", SUM($O3:AF3), SUMIFS('Transaction Ledger'!$G:$G, 'Transaction Ledger'!$H:$H, "Retainer Revenue", 'Transaction Ledger'!$A:$A, "&gt;="&amp;H$1, 'Transaction Ledger'!$A:$A, "&lt;="&amp;EOMONTH(H$1,0))))</f>
        <v/>
      </c>
      <c r="I4" s="4" t="n">
        <v>0</v>
      </c>
      <c r="J4" s="4">
        <f>IF(J$1="2026 Total", SUM($B3:U3), IF(J$1="2027 Total", SUM($O3:AH3), SUMIFS('Transaction Ledger'!$G:$G, 'Transaction Ledger'!$H:$H, "Retainer Revenue", 'Transaction Ledger'!$A:$A, "&gt;="&amp;J$1, 'Transaction Ledger'!$A:$A, "&lt;="&amp;EOMONTH(J$1,0))))</f>
        <v/>
      </c>
      <c r="K4" s="4" t="n">
        <v>5000</v>
      </c>
      <c r="L4" s="4" t="n">
        <v>12000</v>
      </c>
      <c r="M4" s="4" t="n">
        <v>18000</v>
      </c>
      <c r="N4" s="4" t="n">
        <v>35000</v>
      </c>
      <c r="O4" s="4" t="n">
        <v>25000</v>
      </c>
      <c r="P4" s="4" t="n">
        <v>33000</v>
      </c>
      <c r="Q4" s="4" t="n">
        <v>42000</v>
      </c>
      <c r="R4" s="4" t="n">
        <v>50000</v>
      </c>
      <c r="S4" s="4" t="n">
        <v>56000</v>
      </c>
      <c r="T4" s="4" t="n">
        <v>62000</v>
      </c>
      <c r="U4" s="4" t="n">
        <v>62000</v>
      </c>
      <c r="V4" s="4" t="n">
        <v>62000</v>
      </c>
      <c r="W4" s="4" t="n">
        <v>62000</v>
      </c>
      <c r="X4" s="4" t="n">
        <v>62000</v>
      </c>
      <c r="Y4" s="4" t="n">
        <v>62000</v>
      </c>
      <c r="Z4" s="4" t="n">
        <v>62000</v>
      </c>
      <c r="AA4" s="4" t="n">
        <v>640000</v>
      </c>
    </row>
    <row r="5">
      <c r="A5" s="7" t="inlineStr">
        <is>
          <t>Product Sprints</t>
        </is>
      </c>
      <c r="B5" s="4">
        <f>IF(B$1="2026 Total", SUM($B3:M3), IF(B$1="2027 Total", SUM($O3:Z3), SUMIFS('Transaction Ledger'!$G:$G, 'Transaction Ledger'!$H:$H, "Product Sprints", 'Transaction Ledger'!$A:$A, "&gt;="&amp;B$1, 'Transaction Ledger'!$A:$A, "&lt;="&amp;EOMONTH(B$1,0))))</f>
        <v/>
      </c>
      <c r="C5" s="4">
        <f>IF(C$1="2026 Total", SUM($B3:N3), IF(C$1="2027 Total", SUM($O3:AA3), SUMIFS('Transaction Ledger'!$G:$G, 'Transaction Ledger'!$H:$H, "Product Sprints", 'Transaction Ledger'!$A:$A, "&gt;="&amp;C$1, 'Transaction Ledger'!$A:$A, "&lt;="&amp;EOMONTH(C$1,0))))</f>
        <v/>
      </c>
      <c r="D5" s="4">
        <f>IF(D$1="2026 Total", SUM($B3:O3), IF(D$1="2027 Total", SUM($O3:AB3), SUMIFS('Transaction Ledger'!$G:$G, 'Transaction Ledger'!$H:$H, "Product Sprints", 'Transaction Ledger'!$A:$A, "&gt;="&amp;D$1, 'Transaction Ledger'!$A:$A, "&lt;="&amp;EOMONTH(D$1,0))))</f>
        <v/>
      </c>
      <c r="E5" s="4">
        <f>IF(E$1="2026 Total", SUM($B3:P3), IF(E$1="2027 Total", SUM($O3:AC3), SUMIFS('Transaction Ledger'!$G:$G, 'Transaction Ledger'!$H:$H, "Product Sprints", 'Transaction Ledger'!$A:$A, "&gt;="&amp;E$1, 'Transaction Ledger'!$A:$A, "&lt;="&amp;EOMONTH(E$1,0))))</f>
        <v/>
      </c>
      <c r="F5" s="4">
        <f>IF(F$1="2026 Total", SUM($B3:Q3), IF(F$1="2027 Total", SUM($O3:AD3), SUMIFS('Transaction Ledger'!$G:$G, 'Transaction Ledger'!$H:$H, "Product Sprints", 'Transaction Ledger'!$A:$A, "&gt;="&amp;F$1, 'Transaction Ledger'!$A:$A, "&lt;="&amp;EOMONTH(F$1,0))))</f>
        <v/>
      </c>
      <c r="G5" s="4">
        <f>IF(G$1="2026 Total", SUM($B3:R3), IF(G$1="2027 Total", SUM($O3:AE3), SUMIFS('Transaction Ledger'!$G:$G, 'Transaction Ledger'!$H:$H, "Product Sprints", 'Transaction Ledger'!$A:$A, "&gt;="&amp;G$1, 'Transaction Ledger'!$A:$A, "&lt;="&amp;EOMONTH(G$1,0))))</f>
        <v/>
      </c>
      <c r="H5" s="4">
        <f>IF(H$1="2026 Total", SUM($B3:S3), IF(H$1="2027 Total", SUM($O3:AF3), SUMIFS('Transaction Ledger'!$G:$G, 'Transaction Ledger'!$H:$H, "Product Sprints", 'Transaction Ledger'!$A:$A, "&gt;="&amp;H$1, 'Transaction Ledger'!$A:$A, "&lt;="&amp;EOMONTH(H$1,0))))</f>
        <v/>
      </c>
      <c r="I5" s="4" t="n">
        <v>0</v>
      </c>
      <c r="J5" s="4">
        <f>IF(J$1="2026 Total", SUM($B3:U3), IF(J$1="2027 Total", SUM($O3:AH3), SUMIFS('Transaction Ledger'!$G:$G, 'Transaction Ledger'!$H:$H, "Product Sprints", 'Transaction Ledger'!$A:$A, "&gt;="&amp;J$1, 'Transaction Ledger'!$A:$A, "&lt;="&amp;EOMONTH(J$1,0))))</f>
        <v/>
      </c>
      <c r="K5" s="4">
        <f>IF(K$1="2026 Total", SUM($B3:V3), IF(K$1="2027 Total", SUM($O3:AI3), SUMIFS('Transaction Ledger'!$G:$G, 'Transaction Ledger'!$H:$H, "Product Sprints", 'Transaction Ledger'!$A:$A, "&gt;="&amp;K$1, 'Transaction Ledger'!$A:$A, "&lt;="&amp;EOMONTH(K$1,0))))</f>
        <v/>
      </c>
      <c r="L5" s="4">
        <f>IF(L$1="2026 Total", SUM($B3:W3), IF(L$1="2027 Total", SUM($O3:AJ3), SUMIFS('Transaction Ledger'!$G:$G, 'Transaction Ledger'!$H:$H, "Product Sprints", 'Transaction Ledger'!$A:$A, "&gt;="&amp;L$1, 'Transaction Ledger'!$A:$A, "&lt;="&amp;EOMONTH(L$1,0))))</f>
        <v/>
      </c>
      <c r="M5" s="4">
        <f>IF(M$1="2026 Total", SUM($B3:X3), IF(M$1="2027 Total", SUM($O3:AK3), SUMIFS('Transaction Ledger'!$G:$G, 'Transaction Ledger'!$H:$H, "Product Sprints", 'Transaction Ledger'!$A:$A, "&gt;="&amp;M$1, 'Transaction Ledger'!$A:$A, "&lt;="&amp;EOMONTH(M$1,0))))</f>
        <v/>
      </c>
      <c r="N5" s="4">
        <f>SUM(B5:M5)</f>
        <v/>
      </c>
      <c r="O5" s="4">
        <f>IF(O$1="2026 Total", SUM($B3:Z3), IF(O$1="2027 Total", SUM($O3:AM3), SUMIFS('Transaction Ledger'!$G:$G, 'Transaction Ledger'!$H:$H, "Product Sprints", 'Transaction Ledger'!$A:$A, "&gt;="&amp;O$1, 'Transaction Ledger'!$A:$A, "&lt;="&amp;EOMONTH(O$1,0))))</f>
        <v/>
      </c>
      <c r="P5" s="4">
        <f>IF(P$1="2026 Total", SUM($B3:AA3), IF(P$1="2027 Total", SUM($O3:AN3), SUMIFS('Transaction Ledger'!$G:$G, 'Transaction Ledger'!$H:$H, "Product Sprints", 'Transaction Ledger'!$A:$A, "&gt;="&amp;P$1, 'Transaction Ledger'!$A:$A, "&lt;="&amp;EOMONTH(P$1,0))))</f>
        <v/>
      </c>
      <c r="Q5" s="4">
        <f>IF(Q$1="2026 Total", SUM($B3:AB3), IF(Q$1="2027 Total", SUM($O3:AO3), SUMIFS('Transaction Ledger'!$G:$G, 'Transaction Ledger'!$H:$H, "Product Sprints", 'Transaction Ledger'!$A:$A, "&gt;="&amp;Q$1, 'Transaction Ledger'!$A:$A, "&lt;="&amp;EOMONTH(Q$1,0))))</f>
        <v/>
      </c>
      <c r="R5" s="4">
        <f>IF(R$1="2026 Total", SUM($B3:AC3), IF(R$1="2027 Total", SUM($O3:AP3), SUMIFS('Transaction Ledger'!$G:$G, 'Transaction Ledger'!$H:$H, "Product Sprints", 'Transaction Ledger'!$A:$A, "&gt;="&amp;R$1, 'Transaction Ledger'!$A:$A, "&lt;="&amp;EOMONTH(R$1,0))))</f>
        <v/>
      </c>
      <c r="S5" s="4">
        <f>IF(S$1="2026 Total", SUM($B3:AD3), IF(S$1="2027 Total", SUM($O3:AQ3), SUMIFS('Transaction Ledger'!$G:$G, 'Transaction Ledger'!$H:$H, "Product Sprints", 'Transaction Ledger'!$A:$A, "&gt;="&amp;S$1, 'Transaction Ledger'!$A:$A, "&lt;="&amp;EOMONTH(S$1,0))))</f>
        <v/>
      </c>
      <c r="T5" s="4">
        <f>IF(T$1="2026 Total", SUM($B3:AE3), IF(T$1="2027 Total", SUM($O3:AR3), SUMIFS('Transaction Ledger'!$G:$G, 'Transaction Ledger'!$H:$H, "Product Sprints", 'Transaction Ledger'!$A:$A, "&gt;="&amp;T$1, 'Transaction Ledger'!$A:$A, "&lt;="&amp;EOMONTH(T$1,0))))</f>
        <v/>
      </c>
      <c r="U5" s="4">
        <f>IF(U$1="2026 Total", SUM($B3:AF3), IF(U$1="2027 Total", SUM($O3:AS3), SUMIFS('Transaction Ledger'!$G:$G, 'Transaction Ledger'!$H:$H, "Product Sprints", 'Transaction Ledger'!$A:$A, "&gt;="&amp;U$1, 'Transaction Ledger'!$A:$A, "&lt;="&amp;EOMONTH(U$1,0))))</f>
        <v/>
      </c>
      <c r="V5" s="4">
        <f>IF(V$1="2026 Total", SUM($B3:AG3), IF(V$1="2027 Total", SUM($O3:AT3), SUMIFS('Transaction Ledger'!$G:$G, 'Transaction Ledger'!$H:$H, "Product Sprints", 'Transaction Ledger'!$A:$A, "&gt;="&amp;V$1, 'Transaction Ledger'!$A:$A, "&lt;="&amp;EOMONTH(V$1,0))))</f>
        <v/>
      </c>
      <c r="W5" s="4">
        <f>IF(W$1="2026 Total", SUM($B3:AH3), IF(W$1="2027 Total", SUM($O3:AU3), SUMIFS('Transaction Ledger'!$G:$G, 'Transaction Ledger'!$H:$H, "Product Sprints", 'Transaction Ledger'!$A:$A, "&gt;="&amp;W$1, 'Transaction Ledger'!$A:$A, "&lt;="&amp;EOMONTH(W$1,0))))</f>
        <v/>
      </c>
      <c r="X5" s="4">
        <f>IF(X$1="2026 Total", SUM($B3:AI3), IF(X$1="2027 Total", SUM($O3:AV3), SUMIFS('Transaction Ledger'!$G:$G, 'Transaction Ledger'!$H:$H, "Product Sprints", 'Transaction Ledger'!$A:$A, "&gt;="&amp;X$1, 'Transaction Ledger'!$A:$A, "&lt;="&amp;EOMONTH(X$1,0))))</f>
        <v/>
      </c>
      <c r="Y5" s="4">
        <f>IF(Y$1="2026 Total", SUM($B3:AJ3), IF(Y$1="2027 Total", SUM($O3:AW3), SUMIFS('Transaction Ledger'!$G:$G, 'Transaction Ledger'!$H:$H, "Product Sprints", 'Transaction Ledger'!$A:$A, "&gt;="&amp;Y$1, 'Transaction Ledger'!$A:$A, "&lt;="&amp;EOMONTH(Y$1,0))))</f>
        <v/>
      </c>
      <c r="Z5" s="4">
        <f>IF(Z$1="2026 Total", SUM($B3:AK3), IF(Z$1="2027 Total", SUM($O3:AX3), SUMIFS('Transaction Ledger'!$G:$G, 'Transaction Ledger'!$H:$H, "Product Sprints", 'Transaction Ledger'!$A:$A, "&gt;="&amp;Z$1, 'Transaction Ledger'!$A:$A, "&lt;="&amp;EOMONTH(Z$1,0))))</f>
        <v/>
      </c>
      <c r="AA5" s="4">
        <f>SUM(O5:Z5)</f>
        <v/>
      </c>
    </row>
    <row r="6">
      <c r="A6" s="7" t="inlineStr">
        <is>
          <t>Total Revenue</t>
        </is>
      </c>
      <c r="B6" s="4">
        <f>SUM(B3:B5)</f>
        <v/>
      </c>
      <c r="C6" s="4">
        <f>SUM(C3:C5)</f>
        <v/>
      </c>
      <c r="D6" s="4">
        <f>SUM(D3:D5)</f>
        <v/>
      </c>
      <c r="E6" s="4">
        <f>SUM(E3:E5)</f>
        <v/>
      </c>
      <c r="F6" s="4">
        <f>SUM(F3:F5)</f>
        <v/>
      </c>
      <c r="G6" s="4">
        <f>SUM(G3:G5)</f>
        <v/>
      </c>
      <c r="H6" s="4">
        <f>SUM(H3:H5)</f>
        <v/>
      </c>
      <c r="I6" s="4" t="n">
        <v>27205</v>
      </c>
      <c r="J6" s="4" t="n">
        <v>22000</v>
      </c>
      <c r="K6" s="4" t="n">
        <v>31000</v>
      </c>
      <c r="L6" s="4" t="n">
        <v>40000</v>
      </c>
      <c r="M6" s="4" t="n">
        <v>48000</v>
      </c>
      <c r="N6" s="4" t="n">
        <v>151605</v>
      </c>
      <c r="O6" s="4" t="n">
        <v>57000</v>
      </c>
      <c r="P6" s="4" t="n">
        <v>67000</v>
      </c>
      <c r="Q6" s="4" t="n">
        <v>77000</v>
      </c>
      <c r="R6" s="4" t="n">
        <v>86000</v>
      </c>
      <c r="S6" s="4" t="n">
        <v>93000</v>
      </c>
      <c r="T6" s="4" t="n">
        <v>100000</v>
      </c>
      <c r="U6" s="4" t="n">
        <v>100000</v>
      </c>
      <c r="V6" s="4" t="n">
        <v>100000</v>
      </c>
      <c r="W6" s="4" t="n">
        <v>100000</v>
      </c>
      <c r="X6" s="4" t="n">
        <v>100000</v>
      </c>
      <c r="Y6" s="4" t="n">
        <v>100000</v>
      </c>
      <c r="Z6" s="4" t="n">
        <v>100000</v>
      </c>
      <c r="AA6" s="4" t="n">
        <v>1080000</v>
      </c>
    </row>
    <row r="7">
      <c r="A7" s="7" t="inlineStr">
        <is>
          <t>Cost of Goods Sold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</row>
    <row r="8">
      <c r="A8" s="7" t="inlineStr">
        <is>
          <t>Compute &amp; Hosting</t>
        </is>
      </c>
      <c r="B8" s="4">
        <f>IF(B$1="2026 Total", SUM($B3:M3), IF(B$1="2027 Total", SUM($O3:Z3), SUMIFS('Transaction Ledger'!$G:$G, 'Transaction Ledger'!$H:$H, "Compute/API Expense", 'Transaction Ledger'!$A:$A, "&gt;="&amp;B$1, 'Transaction Ledger'!$A:$A, "&lt;="&amp;EOMONTH(B$1,0))))</f>
        <v/>
      </c>
      <c r="C8" s="4">
        <f>IF(C$1="2026 Total", SUM($B3:N3), IF(C$1="2027 Total", SUM($O3:AA3), SUMIFS('Transaction Ledger'!$G:$G, 'Transaction Ledger'!$H:$H, "Compute/API Expense", 'Transaction Ledger'!$A:$A, "&gt;="&amp;C$1, 'Transaction Ledger'!$A:$A, "&lt;="&amp;EOMONTH(C$1,0))))</f>
        <v/>
      </c>
      <c r="D8" s="4">
        <f>IF(D$1="2026 Total", SUM($B3:O3), IF(D$1="2027 Total", SUM($O3:AB3), SUMIFS('Transaction Ledger'!$G:$G, 'Transaction Ledger'!$H:$H, "Compute/API Expense", 'Transaction Ledger'!$A:$A, "&gt;="&amp;D$1, 'Transaction Ledger'!$A:$A, "&lt;="&amp;EOMONTH(D$1,0))))</f>
        <v/>
      </c>
      <c r="E8" s="4">
        <f>IF(E$1="2026 Total", SUM($B3:P3), IF(E$1="2027 Total", SUM($O3:AC3), SUMIFS('Transaction Ledger'!$G:$G, 'Transaction Ledger'!$H:$H, "Compute/API Expense", 'Transaction Ledger'!$A:$A, "&gt;="&amp;E$1, 'Transaction Ledger'!$A:$A, "&lt;="&amp;EOMONTH(E$1,0))))</f>
        <v/>
      </c>
      <c r="F8" s="4">
        <f>IF(F$1="2026 Total", SUM($B3:Q3), IF(F$1="2027 Total", SUM($O3:AD3), SUMIFS('Transaction Ledger'!$G:$G, 'Transaction Ledger'!$H:$H, "Compute/API Expense", 'Transaction Ledger'!$A:$A, "&gt;="&amp;F$1, 'Transaction Ledger'!$A:$A, "&lt;="&amp;EOMONTH(F$1,0))))</f>
        <v/>
      </c>
      <c r="G8" s="4">
        <f>IF(G$1="2026 Total", SUM($B3:R3), IF(G$1="2027 Total", SUM($O3:AE3), SUMIFS('Transaction Ledger'!$G:$G, 'Transaction Ledger'!$H:$H, "Compute/API Expense", 'Transaction Ledger'!$A:$A, "&gt;="&amp;G$1, 'Transaction Ledger'!$A:$A, "&lt;="&amp;EOMONTH(G$1,0))))</f>
        <v/>
      </c>
      <c r="H8" s="4">
        <f>IF(H$1="2026 Total", SUM($B3:S3), IF(H$1="2027 Total", SUM($O3:AF3), SUMIFS('Transaction Ledger'!$G:$G, 'Transaction Ledger'!$H:$H, "Compute/API Expense", 'Transaction Ledger'!$A:$A, "&gt;="&amp;H$1, 'Transaction Ledger'!$A:$A, "&lt;="&amp;EOMONTH(H$1,0))))</f>
        <v/>
      </c>
      <c r="I8" s="4" t="n">
        <v>0</v>
      </c>
      <c r="J8" s="4">
        <f>IF(J$1="2026 Total", SUM($B3:U3), IF(J$1="2027 Total", SUM($O3:AH3), SUMIFS('Transaction Ledger'!$G:$G, 'Transaction Ledger'!$H:$H, "Compute/API Expense", 'Transaction Ledger'!$A:$A, "&gt;="&amp;J$1, 'Transaction Ledger'!$A:$A, "&lt;="&amp;EOMONTH(J$1,0))))</f>
        <v/>
      </c>
      <c r="K8" s="4">
        <f>IF(K$1="2026 Total", SUM($B3:V3), IF(K$1="2027 Total", SUM($O3:AI3), SUMIFS('Transaction Ledger'!$G:$G, 'Transaction Ledger'!$H:$H, "Compute/API Expense", 'Transaction Ledger'!$A:$A, "&gt;="&amp;K$1, 'Transaction Ledger'!$A:$A, "&lt;="&amp;EOMONTH(K$1,0))))</f>
        <v/>
      </c>
      <c r="L8" s="4">
        <f>IF(L$1="2026 Total", SUM($B3:W3), IF(L$1="2027 Total", SUM($O3:AJ3), SUMIFS('Transaction Ledger'!$G:$G, 'Transaction Ledger'!$H:$H, "Compute/API Expense", 'Transaction Ledger'!$A:$A, "&gt;="&amp;L$1, 'Transaction Ledger'!$A:$A, "&lt;="&amp;EOMONTH(L$1,0))))</f>
        <v/>
      </c>
      <c r="M8" s="4">
        <f>IF(M$1="2026 Total", SUM($B3:X3), IF(M$1="2027 Total", SUM($O3:AK3), SUMIFS('Transaction Ledger'!$G:$G, 'Transaction Ledger'!$H:$H, "Compute/API Expense", 'Transaction Ledger'!$A:$A, "&gt;="&amp;M$1, 'Transaction Ledger'!$A:$A, "&lt;="&amp;EOMONTH(M$1,0))))</f>
        <v/>
      </c>
      <c r="N8" s="4">
        <f>SUM(B8:M8)</f>
        <v/>
      </c>
      <c r="O8" s="4">
        <f>IF(O$1="2026 Total", SUM($B3:Z3), IF(O$1="2027 Total", SUM($O3:AM3), SUMIFS('Transaction Ledger'!$G:$G, 'Transaction Ledger'!$H:$H, "Compute/API Expense", 'Transaction Ledger'!$A:$A, "&gt;="&amp;O$1, 'Transaction Ledger'!$A:$A, "&lt;="&amp;EOMONTH(O$1,0))))</f>
        <v/>
      </c>
      <c r="P8" s="4">
        <f>IF(P$1="2026 Total", SUM($B3:AA3), IF(P$1="2027 Total", SUM($O3:AN3), SUMIFS('Transaction Ledger'!$G:$G, 'Transaction Ledger'!$H:$H, "Compute/API Expense", 'Transaction Ledger'!$A:$A, "&gt;="&amp;P$1, 'Transaction Ledger'!$A:$A, "&lt;="&amp;EOMONTH(P$1,0))))</f>
        <v/>
      </c>
      <c r="Q8" s="4">
        <f>IF(Q$1="2026 Total", SUM($B3:AB3), IF(Q$1="2027 Total", SUM($O3:AO3), SUMIFS('Transaction Ledger'!$G:$G, 'Transaction Ledger'!$H:$H, "Compute/API Expense", 'Transaction Ledger'!$A:$A, "&gt;="&amp;Q$1, 'Transaction Ledger'!$A:$A, "&lt;="&amp;EOMONTH(Q$1,0))))</f>
        <v/>
      </c>
      <c r="R8" s="4">
        <f>IF(R$1="2026 Total", SUM($B3:AC3), IF(R$1="2027 Total", SUM($O3:AP3), SUMIFS('Transaction Ledger'!$G:$G, 'Transaction Ledger'!$H:$H, "Compute/API Expense", 'Transaction Ledger'!$A:$A, "&gt;="&amp;R$1, 'Transaction Ledger'!$A:$A, "&lt;="&amp;EOMONTH(R$1,0))))</f>
        <v/>
      </c>
      <c r="S8" s="4">
        <f>IF(S$1="2026 Total", SUM($B3:AD3), IF(S$1="2027 Total", SUM($O3:AQ3), SUMIFS('Transaction Ledger'!$G:$G, 'Transaction Ledger'!$H:$H, "Compute/API Expense", 'Transaction Ledger'!$A:$A, "&gt;="&amp;S$1, 'Transaction Ledger'!$A:$A, "&lt;="&amp;EOMONTH(S$1,0))))</f>
        <v/>
      </c>
      <c r="T8" s="4">
        <f>IF(T$1="2026 Total", SUM($B3:AE3), IF(T$1="2027 Total", SUM($O3:AR3), SUMIFS('Transaction Ledger'!$G:$G, 'Transaction Ledger'!$H:$H, "Compute/API Expense", 'Transaction Ledger'!$A:$A, "&gt;="&amp;T$1, 'Transaction Ledger'!$A:$A, "&lt;="&amp;EOMONTH(T$1,0))))</f>
        <v/>
      </c>
      <c r="U8" s="4">
        <f>IF(U$1="2026 Total", SUM($B3:AF3), IF(U$1="2027 Total", SUM($O3:AS3), SUMIFS('Transaction Ledger'!$G:$G, 'Transaction Ledger'!$H:$H, "Compute/API Expense", 'Transaction Ledger'!$A:$A, "&gt;="&amp;U$1, 'Transaction Ledger'!$A:$A, "&lt;="&amp;EOMONTH(U$1,0))))</f>
        <v/>
      </c>
      <c r="V8" s="4">
        <f>IF(V$1="2026 Total", SUM($B3:AG3), IF(V$1="2027 Total", SUM($O3:AT3), SUMIFS('Transaction Ledger'!$G:$G, 'Transaction Ledger'!$H:$H, "Compute/API Expense", 'Transaction Ledger'!$A:$A, "&gt;="&amp;V$1, 'Transaction Ledger'!$A:$A, "&lt;="&amp;EOMONTH(V$1,0))))</f>
        <v/>
      </c>
      <c r="W8" s="4">
        <f>IF(W$1="2026 Total", SUM($B3:AH3), IF(W$1="2027 Total", SUM($O3:AU3), SUMIFS('Transaction Ledger'!$G:$G, 'Transaction Ledger'!$H:$H, "Compute/API Expense", 'Transaction Ledger'!$A:$A, "&gt;="&amp;W$1, 'Transaction Ledger'!$A:$A, "&lt;="&amp;EOMONTH(W$1,0))))</f>
        <v/>
      </c>
      <c r="X8" s="4">
        <f>IF(X$1="2026 Total", SUM($B3:AI3), IF(X$1="2027 Total", SUM($O3:AV3), SUMIFS('Transaction Ledger'!$G:$G, 'Transaction Ledger'!$H:$H, "Compute/API Expense", 'Transaction Ledger'!$A:$A, "&gt;="&amp;X$1, 'Transaction Ledger'!$A:$A, "&lt;="&amp;EOMONTH(X$1,0))))</f>
        <v/>
      </c>
      <c r="Y8" s="4">
        <f>IF(Y$1="2026 Total", SUM($B3:AJ3), IF(Y$1="2027 Total", SUM($O3:AW3), SUMIFS('Transaction Ledger'!$G:$G, 'Transaction Ledger'!$H:$H, "Compute/API Expense", 'Transaction Ledger'!$A:$A, "&gt;="&amp;Y$1, 'Transaction Ledger'!$A:$A, "&lt;="&amp;EOMONTH(Y$1,0))))</f>
        <v/>
      </c>
      <c r="Z8" s="4">
        <f>IF(Z$1="2026 Total", SUM($B3:AK3), IF(Z$1="2027 Total", SUM($O3:AX3), SUMIFS('Transaction Ledger'!$G:$G, 'Transaction Ledger'!$H:$H, "Compute/API Expense", 'Transaction Ledger'!$A:$A, "&gt;="&amp;Z$1, 'Transaction Ledger'!$A:$A, "&lt;="&amp;EOMONTH(Z$1,0))))</f>
        <v/>
      </c>
      <c r="AA8" s="4">
        <f>SUM(O8:Z8)</f>
        <v/>
      </c>
    </row>
    <row r="9">
      <c r="A9" s="7" t="inlineStr">
        <is>
          <t>API Tokens</t>
        </is>
      </c>
      <c r="B9" s="4">
        <f>IF(B$1="2026 Total", SUM($B3:M3), IF(B$1="2027 Total", SUM($O3:Z3), SUMIFS('Transaction Ledger'!$G:$G, 'Transaction Ledger'!$H:$H, "API Tokens", 'Transaction Ledger'!$A:$A, "&gt;="&amp;B$1, 'Transaction Ledger'!$A:$A, "&lt;="&amp;EOMONTH(B$1,0))))</f>
        <v/>
      </c>
      <c r="C9" s="4">
        <f>IF(C$1="2026 Total", SUM($B3:N3), IF(C$1="2027 Total", SUM($O3:AA3), SUMIFS('Transaction Ledger'!$G:$G, 'Transaction Ledger'!$H:$H, "API Tokens", 'Transaction Ledger'!$A:$A, "&gt;="&amp;C$1, 'Transaction Ledger'!$A:$A, "&lt;="&amp;EOMONTH(C$1,0))))</f>
        <v/>
      </c>
      <c r="D9" s="4">
        <f>IF(D$1="2026 Total", SUM($B3:O3), IF(D$1="2027 Total", SUM($O3:AB3), SUMIFS('Transaction Ledger'!$G:$G, 'Transaction Ledger'!$H:$H, "API Tokens", 'Transaction Ledger'!$A:$A, "&gt;="&amp;D$1, 'Transaction Ledger'!$A:$A, "&lt;="&amp;EOMONTH(D$1,0))))</f>
        <v/>
      </c>
      <c r="E9" s="4">
        <f>IF(E$1="2026 Total", SUM($B3:P3), IF(E$1="2027 Total", SUM($O3:AC3), SUMIFS('Transaction Ledger'!$G:$G, 'Transaction Ledger'!$H:$H, "API Tokens", 'Transaction Ledger'!$A:$A, "&gt;="&amp;E$1, 'Transaction Ledger'!$A:$A, "&lt;="&amp;EOMONTH(E$1,0))))</f>
        <v/>
      </c>
      <c r="F9" s="4">
        <f>IF(F$1="2026 Total", SUM($B3:Q3), IF(F$1="2027 Total", SUM($O3:AD3), SUMIFS('Transaction Ledger'!$G:$G, 'Transaction Ledger'!$H:$H, "API Tokens", 'Transaction Ledger'!$A:$A, "&gt;="&amp;F$1, 'Transaction Ledger'!$A:$A, "&lt;="&amp;EOMONTH(F$1,0))))</f>
        <v/>
      </c>
      <c r="G9" s="4">
        <f>IF(G$1="2026 Total", SUM($B3:R3), IF(G$1="2027 Total", SUM($O3:AE3), SUMIFS('Transaction Ledger'!$G:$G, 'Transaction Ledger'!$H:$H, "API Tokens", 'Transaction Ledger'!$A:$A, "&gt;="&amp;G$1, 'Transaction Ledger'!$A:$A, "&lt;="&amp;EOMONTH(G$1,0))))</f>
        <v/>
      </c>
      <c r="H9" s="4">
        <f>IF(H$1="2026 Total", SUM($B3:S3), IF(H$1="2027 Total", SUM($O3:AF3), SUMIFS('Transaction Ledger'!$G:$G, 'Transaction Ledger'!$H:$H, "API Tokens", 'Transaction Ledger'!$A:$A, "&gt;="&amp;H$1, 'Transaction Ledger'!$A:$A, "&lt;="&amp;EOMONTH(H$1,0))))</f>
        <v/>
      </c>
      <c r="I9" s="4" t="n">
        <v>0</v>
      </c>
      <c r="J9" s="4">
        <f>IF(J$1="2026 Total", SUM($B3:U3), IF(J$1="2027 Total", SUM($O3:AH3), SUMIFS('Transaction Ledger'!$G:$G, 'Transaction Ledger'!$H:$H, "API Tokens", 'Transaction Ledger'!$A:$A, "&gt;="&amp;J$1, 'Transaction Ledger'!$A:$A, "&lt;="&amp;EOMONTH(J$1,0))))</f>
        <v/>
      </c>
      <c r="K9" s="4">
        <f>IF(K$1="2026 Total", SUM($B3:V3), IF(K$1="2027 Total", SUM($O3:AI3), SUMIFS('Transaction Ledger'!$G:$G, 'Transaction Ledger'!$H:$H, "API Tokens", 'Transaction Ledger'!$A:$A, "&gt;="&amp;K$1, 'Transaction Ledger'!$A:$A, "&lt;="&amp;EOMONTH(K$1,0))))</f>
        <v/>
      </c>
      <c r="L9" s="4">
        <f>IF(L$1="2026 Total", SUM($B3:W3), IF(L$1="2027 Total", SUM($O3:AJ3), SUMIFS('Transaction Ledger'!$G:$G, 'Transaction Ledger'!$H:$H, "API Tokens", 'Transaction Ledger'!$A:$A, "&gt;="&amp;L$1, 'Transaction Ledger'!$A:$A, "&lt;="&amp;EOMONTH(L$1,0))))</f>
        <v/>
      </c>
      <c r="M9" s="4">
        <f>IF(M$1="2026 Total", SUM($B3:X3), IF(M$1="2027 Total", SUM($O3:AK3), SUMIFS('Transaction Ledger'!$G:$G, 'Transaction Ledger'!$H:$H, "API Tokens", 'Transaction Ledger'!$A:$A, "&gt;="&amp;M$1, 'Transaction Ledger'!$A:$A, "&lt;="&amp;EOMONTH(M$1,0))))</f>
        <v/>
      </c>
      <c r="N9" s="4">
        <f>SUM(B9:M9)</f>
        <v/>
      </c>
      <c r="O9" s="4">
        <f>IF(O$1="2026 Total", SUM($B3:Z3), IF(O$1="2027 Total", SUM($O3:AM3), SUMIFS('Transaction Ledger'!$G:$G, 'Transaction Ledger'!$H:$H, "API Tokens", 'Transaction Ledger'!$A:$A, "&gt;="&amp;O$1, 'Transaction Ledger'!$A:$A, "&lt;="&amp;EOMONTH(O$1,0))))</f>
        <v/>
      </c>
      <c r="P9" s="4">
        <f>IF(P$1="2026 Total", SUM($B3:AA3), IF(P$1="2027 Total", SUM($O3:AN3), SUMIFS('Transaction Ledger'!$G:$G, 'Transaction Ledger'!$H:$H, "API Tokens", 'Transaction Ledger'!$A:$A, "&gt;="&amp;P$1, 'Transaction Ledger'!$A:$A, "&lt;="&amp;EOMONTH(P$1,0))))</f>
        <v/>
      </c>
      <c r="Q9" s="4">
        <f>IF(Q$1="2026 Total", SUM($B3:AB3), IF(Q$1="2027 Total", SUM($O3:AO3), SUMIFS('Transaction Ledger'!$G:$G, 'Transaction Ledger'!$H:$H, "API Tokens", 'Transaction Ledger'!$A:$A, "&gt;="&amp;Q$1, 'Transaction Ledger'!$A:$A, "&lt;="&amp;EOMONTH(Q$1,0))))</f>
        <v/>
      </c>
      <c r="R9" s="4">
        <f>IF(R$1="2026 Total", SUM($B3:AC3), IF(R$1="2027 Total", SUM($O3:AP3), SUMIFS('Transaction Ledger'!$G:$G, 'Transaction Ledger'!$H:$H, "API Tokens", 'Transaction Ledger'!$A:$A, "&gt;="&amp;R$1, 'Transaction Ledger'!$A:$A, "&lt;="&amp;EOMONTH(R$1,0))))</f>
        <v/>
      </c>
      <c r="S9" s="4">
        <f>IF(S$1="2026 Total", SUM($B3:AD3), IF(S$1="2027 Total", SUM($O3:AQ3), SUMIFS('Transaction Ledger'!$G:$G, 'Transaction Ledger'!$H:$H, "API Tokens", 'Transaction Ledger'!$A:$A, "&gt;="&amp;S$1, 'Transaction Ledger'!$A:$A, "&lt;="&amp;EOMONTH(S$1,0))))</f>
        <v/>
      </c>
      <c r="T9" s="4">
        <f>IF(T$1="2026 Total", SUM($B3:AE3), IF(T$1="2027 Total", SUM($O3:AR3), SUMIFS('Transaction Ledger'!$G:$G, 'Transaction Ledger'!$H:$H, "API Tokens", 'Transaction Ledger'!$A:$A, "&gt;="&amp;T$1, 'Transaction Ledger'!$A:$A, "&lt;="&amp;EOMONTH(T$1,0))))</f>
        <v/>
      </c>
      <c r="U9" s="4">
        <f>IF(U$1="2026 Total", SUM($B3:AF3), IF(U$1="2027 Total", SUM($O3:AS3), SUMIFS('Transaction Ledger'!$G:$G, 'Transaction Ledger'!$H:$H, "API Tokens", 'Transaction Ledger'!$A:$A, "&gt;="&amp;U$1, 'Transaction Ledger'!$A:$A, "&lt;="&amp;EOMONTH(U$1,0))))</f>
        <v/>
      </c>
      <c r="V9" s="4">
        <f>IF(V$1="2026 Total", SUM($B3:AG3), IF(V$1="2027 Total", SUM($O3:AT3), SUMIFS('Transaction Ledger'!$G:$G, 'Transaction Ledger'!$H:$H, "API Tokens", 'Transaction Ledger'!$A:$A, "&gt;="&amp;V$1, 'Transaction Ledger'!$A:$A, "&lt;="&amp;EOMONTH(V$1,0))))</f>
        <v/>
      </c>
      <c r="W9" s="4">
        <f>IF(W$1="2026 Total", SUM($B3:AH3), IF(W$1="2027 Total", SUM($O3:AU3), SUMIFS('Transaction Ledger'!$G:$G, 'Transaction Ledger'!$H:$H, "API Tokens", 'Transaction Ledger'!$A:$A, "&gt;="&amp;W$1, 'Transaction Ledger'!$A:$A, "&lt;="&amp;EOMONTH(W$1,0))))</f>
        <v/>
      </c>
      <c r="X9" s="4">
        <f>IF(X$1="2026 Total", SUM($B3:AI3), IF(X$1="2027 Total", SUM($O3:AV3), SUMIFS('Transaction Ledger'!$G:$G, 'Transaction Ledger'!$H:$H, "API Tokens", 'Transaction Ledger'!$A:$A, "&gt;="&amp;X$1, 'Transaction Ledger'!$A:$A, "&lt;="&amp;EOMONTH(X$1,0))))</f>
        <v/>
      </c>
      <c r="Y9" s="4">
        <f>IF(Y$1="2026 Total", SUM($B3:AJ3), IF(Y$1="2027 Total", SUM($O3:AW3), SUMIFS('Transaction Ledger'!$G:$G, 'Transaction Ledger'!$H:$H, "API Tokens", 'Transaction Ledger'!$A:$A, "&gt;="&amp;Y$1, 'Transaction Ledger'!$A:$A, "&lt;="&amp;EOMONTH(Y$1,0))))</f>
        <v/>
      </c>
      <c r="Z9" s="4">
        <f>IF(Z$1="2026 Total", SUM($B3:AK3), IF(Z$1="2027 Total", SUM($O3:AX3), SUMIFS('Transaction Ledger'!$G:$G, 'Transaction Ledger'!$H:$H, "API Tokens", 'Transaction Ledger'!$A:$A, "&gt;="&amp;Z$1, 'Transaction Ledger'!$A:$A, "&lt;="&amp;EOMONTH(Z$1,0))))</f>
        <v/>
      </c>
      <c r="AA9" s="4">
        <f>SUM(O9:Z9)</f>
        <v/>
      </c>
    </row>
    <row r="10">
      <c r="A10" s="7" t="inlineStr">
        <is>
          <t>Total COGS</t>
        </is>
      </c>
      <c r="B10" s="4">
        <f>SUM(B8:B9)</f>
        <v/>
      </c>
      <c r="C10" s="4">
        <f>SUM(C8:C9)</f>
        <v/>
      </c>
      <c r="D10" s="4">
        <f>SUM(D8:D9)</f>
        <v/>
      </c>
      <c r="E10" s="4">
        <f>SUM(E8:E9)</f>
        <v/>
      </c>
      <c r="F10" s="4">
        <f>SUM(F8:F9)</f>
        <v/>
      </c>
      <c r="G10" s="4">
        <f>SUM(G8:G9)</f>
        <v/>
      </c>
      <c r="H10" s="4">
        <f>SUM(H8:H9)</f>
        <v/>
      </c>
      <c r="I10" s="4">
        <f>SUM(I8:I9)</f>
        <v/>
      </c>
      <c r="J10" s="4">
        <f>SUM(J8:J9)</f>
        <v/>
      </c>
      <c r="K10" s="4">
        <f>SUM(K8:K9)</f>
        <v/>
      </c>
      <c r="L10" s="4">
        <f>SUM(L8:L9)</f>
        <v/>
      </c>
      <c r="M10" s="4">
        <f>SUM(M8:M9)</f>
        <v/>
      </c>
      <c r="N10" s="4">
        <f>SUM(B10:M10)</f>
        <v/>
      </c>
      <c r="O10" s="4">
        <f>SUM(O8:O9)</f>
        <v/>
      </c>
      <c r="P10" s="4">
        <f>SUM(P8:P9)</f>
        <v/>
      </c>
      <c r="Q10" s="4">
        <f>SUM(Q8:Q9)</f>
        <v/>
      </c>
      <c r="R10" s="4">
        <f>SUM(R8:R9)</f>
        <v/>
      </c>
      <c r="S10" s="4">
        <f>SUM(S8:S9)</f>
        <v/>
      </c>
      <c r="T10" s="4">
        <f>SUM(T8:T9)</f>
        <v/>
      </c>
      <c r="U10" s="4">
        <f>SUM(U8:U9)</f>
        <v/>
      </c>
      <c r="V10" s="4">
        <f>SUM(V8:V9)</f>
        <v/>
      </c>
      <c r="W10" s="4">
        <f>SUM(W8:W9)</f>
        <v/>
      </c>
      <c r="X10" s="4">
        <f>SUM(X8:X9)</f>
        <v/>
      </c>
      <c r="Y10" s="4">
        <f>SUM(Y8:Y9)</f>
        <v/>
      </c>
      <c r="Z10" s="4">
        <f>SUM(Z8:Z9)</f>
        <v/>
      </c>
      <c r="AA10" s="4">
        <f>SUM(O10:Z10)</f>
        <v/>
      </c>
    </row>
    <row r="11">
      <c r="A11" s="7" t="inlineStr">
        <is>
          <t>Gross Profit</t>
        </is>
      </c>
      <c r="B11" s="4">
        <f>B6-B10</f>
        <v/>
      </c>
      <c r="C11" s="4">
        <f>C6-C10</f>
        <v/>
      </c>
      <c r="D11" s="4">
        <f>D6-D10</f>
        <v/>
      </c>
      <c r="E11" s="4">
        <f>E6-E10</f>
        <v/>
      </c>
      <c r="F11" s="4">
        <f>F6-F10</f>
        <v/>
      </c>
      <c r="G11" s="4">
        <f>G6-G10</f>
        <v/>
      </c>
      <c r="H11" s="4">
        <f>H6-H10</f>
        <v/>
      </c>
      <c r="I11" s="4" t="n">
        <v>27205</v>
      </c>
      <c r="J11" s="4" t="n">
        <v>22000</v>
      </c>
      <c r="K11" s="4" t="n">
        <v>31000</v>
      </c>
      <c r="L11" s="4" t="n">
        <v>40000</v>
      </c>
      <c r="M11" s="4" t="n">
        <v>48000</v>
      </c>
      <c r="N11" s="4" t="n">
        <v>151605</v>
      </c>
      <c r="O11" s="4" t="n">
        <v>57000</v>
      </c>
      <c r="P11" s="4" t="n">
        <v>67000</v>
      </c>
      <c r="Q11" s="4" t="n">
        <v>77000</v>
      </c>
      <c r="R11" s="4" t="n">
        <v>86000</v>
      </c>
      <c r="S11" s="4" t="n">
        <v>93000</v>
      </c>
      <c r="T11" s="4" t="n">
        <v>100000</v>
      </c>
      <c r="U11" s="4" t="n">
        <v>100000</v>
      </c>
      <c r="V11" s="4" t="n">
        <v>100000</v>
      </c>
      <c r="W11" s="4" t="n">
        <v>100000</v>
      </c>
      <c r="X11" s="4" t="n">
        <v>100000</v>
      </c>
      <c r="Y11" s="4" t="n">
        <v>100000</v>
      </c>
      <c r="Z11" s="4" t="n">
        <v>100000</v>
      </c>
      <c r="AA11" s="4" t="n">
        <v>1080000</v>
      </c>
    </row>
    <row r="12">
      <c r="A12" s="7" t="inlineStr">
        <is>
          <t>Operating Expenses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>
      <c r="A13" s="7" t="inlineStr">
        <is>
          <t>Software Tools</t>
        </is>
      </c>
      <c r="B13" s="4">
        <f>IF(B$1="2026 Total", SUM($B3:M3), IF(B$1="2027 Total", SUM($O3:Z3), SUMIFS('Transaction Ledger'!$G:$G, 'Transaction Ledger'!$H:$H, "Software Subscription", 'Transaction Ledger'!$A:$A, "&gt;="&amp;B$1, 'Transaction Ledger'!$A:$A, "&lt;="&amp;EOMONTH(B$1,0))))</f>
        <v/>
      </c>
      <c r="C13" s="4">
        <f>IF(C$1="2026 Total", SUM($B3:N3), IF(C$1="2027 Total", SUM($O3:AA3), SUMIFS('Transaction Ledger'!$G:$G, 'Transaction Ledger'!$H:$H, "Software Subscription", 'Transaction Ledger'!$A:$A, "&gt;="&amp;C$1, 'Transaction Ledger'!$A:$A, "&lt;="&amp;EOMONTH(C$1,0))))</f>
        <v/>
      </c>
      <c r="D13" s="4">
        <f>IF(D$1="2026 Total", SUM($B3:O3), IF(D$1="2027 Total", SUM($O3:AB3), SUMIFS('Transaction Ledger'!$G:$G, 'Transaction Ledger'!$H:$H, "Software Subscription", 'Transaction Ledger'!$A:$A, "&gt;="&amp;D$1, 'Transaction Ledger'!$A:$A, "&lt;="&amp;EOMONTH(D$1,0))))</f>
        <v/>
      </c>
      <c r="E13" s="4">
        <f>IF(E$1="2026 Total", SUM($B3:P3), IF(E$1="2027 Total", SUM($O3:AC3), SUMIFS('Transaction Ledger'!$G:$G, 'Transaction Ledger'!$H:$H, "Software Subscription", 'Transaction Ledger'!$A:$A, "&gt;="&amp;E$1, 'Transaction Ledger'!$A:$A, "&lt;="&amp;EOMONTH(E$1,0))))</f>
        <v/>
      </c>
      <c r="F13" s="4">
        <f>IF(F$1="2026 Total", SUM($B3:Q3), IF(F$1="2027 Total", SUM($O3:AD3), SUMIFS('Transaction Ledger'!$G:$G, 'Transaction Ledger'!$H:$H, "Software Subscription", 'Transaction Ledger'!$A:$A, "&gt;="&amp;F$1, 'Transaction Ledger'!$A:$A, "&lt;="&amp;EOMONTH(F$1,0))))</f>
        <v/>
      </c>
      <c r="G13" s="4">
        <f>IF(G$1="2026 Total", SUM($B3:R3), IF(G$1="2027 Total", SUM($O3:AE3), SUMIFS('Transaction Ledger'!$G:$G, 'Transaction Ledger'!$H:$H, "Software Subscription", 'Transaction Ledger'!$A:$A, "&gt;="&amp;G$1, 'Transaction Ledger'!$A:$A, "&lt;="&amp;EOMONTH(G$1,0))))</f>
        <v/>
      </c>
      <c r="H13" s="4">
        <f>IF(H$1="2026 Total", SUM($B3:S3), IF(H$1="2027 Total", SUM($O3:AF3), SUMIFS('Transaction Ledger'!$G:$G, 'Transaction Ledger'!$H:$H, "Software Subscription", 'Transaction Ledger'!$A:$A, "&gt;="&amp;H$1, 'Transaction Ledger'!$A:$A, "&lt;="&amp;EOMONTH(H$1,0))))</f>
        <v/>
      </c>
      <c r="I13" s="4" t="n">
        <v>0</v>
      </c>
      <c r="J13" s="4">
        <f>IF(J$1="2026 Total", SUM($B3:U3), IF(J$1="2027 Total", SUM($O3:AH3), SUMIFS('Transaction Ledger'!$G:$G, 'Transaction Ledger'!$H:$H, "Software Subscription", 'Transaction Ledger'!$A:$A, "&gt;="&amp;J$1, 'Transaction Ledger'!$A:$A, "&lt;="&amp;EOMONTH(J$1,0))))</f>
        <v/>
      </c>
      <c r="K13" s="4">
        <f>IF(K$1="2026 Total", SUM($B3:V3), IF(K$1="2027 Total", SUM($O3:AI3), SUMIFS('Transaction Ledger'!$G:$G, 'Transaction Ledger'!$H:$H, "Software Subscription", 'Transaction Ledger'!$A:$A, "&gt;="&amp;K$1, 'Transaction Ledger'!$A:$A, "&lt;="&amp;EOMONTH(K$1,0))))</f>
        <v/>
      </c>
      <c r="L13" s="4">
        <f>IF(L$1="2026 Total", SUM($B3:W3), IF(L$1="2027 Total", SUM($O3:AJ3), SUMIFS('Transaction Ledger'!$G:$G, 'Transaction Ledger'!$H:$H, "Software Subscription", 'Transaction Ledger'!$A:$A, "&gt;="&amp;L$1, 'Transaction Ledger'!$A:$A, "&lt;="&amp;EOMONTH(L$1,0))))</f>
        <v/>
      </c>
      <c r="M13" s="4">
        <f>IF(M$1="2026 Total", SUM($B3:X3), IF(M$1="2027 Total", SUM($O3:AK3), SUMIFS('Transaction Ledger'!$G:$G, 'Transaction Ledger'!$H:$H, "Software Subscription", 'Transaction Ledger'!$A:$A, "&gt;="&amp;M$1, 'Transaction Ledger'!$A:$A, "&lt;="&amp;EOMONTH(M$1,0))))</f>
        <v/>
      </c>
      <c r="N13" s="4">
        <f>SUM(B13:M13)</f>
        <v/>
      </c>
      <c r="O13" s="4">
        <f>IF(O$1="2026 Total", SUM($B3:Z3), IF(O$1="2027 Total", SUM($O3:AM3), SUMIFS('Transaction Ledger'!$G:$G, 'Transaction Ledger'!$H:$H, "Software Subscription", 'Transaction Ledger'!$A:$A, "&gt;="&amp;O$1, 'Transaction Ledger'!$A:$A, "&lt;="&amp;EOMONTH(O$1,0))))</f>
        <v/>
      </c>
      <c r="P13" s="4">
        <f>IF(P$1="2026 Total", SUM($B3:AA3), IF(P$1="2027 Total", SUM($O3:AN3), SUMIFS('Transaction Ledger'!$G:$G, 'Transaction Ledger'!$H:$H, "Software Subscription", 'Transaction Ledger'!$A:$A, "&gt;="&amp;P$1, 'Transaction Ledger'!$A:$A, "&lt;="&amp;EOMONTH(P$1,0))))</f>
        <v/>
      </c>
      <c r="Q13" s="4">
        <f>IF(Q$1="2026 Total", SUM($B3:AB3), IF(Q$1="2027 Total", SUM($O3:AO3), SUMIFS('Transaction Ledger'!$G:$G, 'Transaction Ledger'!$H:$H, "Software Subscription", 'Transaction Ledger'!$A:$A, "&gt;="&amp;Q$1, 'Transaction Ledger'!$A:$A, "&lt;="&amp;EOMONTH(Q$1,0))))</f>
        <v/>
      </c>
      <c r="R13" s="4">
        <f>IF(R$1="2026 Total", SUM($B3:AC3), IF(R$1="2027 Total", SUM($O3:AP3), SUMIFS('Transaction Ledger'!$G:$G, 'Transaction Ledger'!$H:$H, "Software Subscription", 'Transaction Ledger'!$A:$A, "&gt;="&amp;R$1, 'Transaction Ledger'!$A:$A, "&lt;="&amp;EOMONTH(R$1,0))))</f>
        <v/>
      </c>
      <c r="S13" s="4">
        <f>IF(S$1="2026 Total", SUM($B3:AD3), IF(S$1="2027 Total", SUM($O3:AQ3), SUMIFS('Transaction Ledger'!$G:$G, 'Transaction Ledger'!$H:$H, "Software Subscription", 'Transaction Ledger'!$A:$A, "&gt;="&amp;S$1, 'Transaction Ledger'!$A:$A, "&lt;="&amp;EOMONTH(S$1,0))))</f>
        <v/>
      </c>
      <c r="T13" s="4">
        <f>IF(T$1="2026 Total", SUM($B3:AE3), IF(T$1="2027 Total", SUM($O3:AR3), SUMIFS('Transaction Ledger'!$G:$G, 'Transaction Ledger'!$H:$H, "Software Subscription", 'Transaction Ledger'!$A:$A, "&gt;="&amp;T$1, 'Transaction Ledger'!$A:$A, "&lt;="&amp;EOMONTH(T$1,0))))</f>
        <v/>
      </c>
      <c r="U13" s="4">
        <f>IF(U$1="2026 Total", SUM($B3:AF3), IF(U$1="2027 Total", SUM($O3:AS3), SUMIFS('Transaction Ledger'!$G:$G, 'Transaction Ledger'!$H:$H, "Software Subscription", 'Transaction Ledger'!$A:$A, "&gt;="&amp;U$1, 'Transaction Ledger'!$A:$A, "&lt;="&amp;EOMONTH(U$1,0))))</f>
        <v/>
      </c>
      <c r="V13" s="4">
        <f>IF(V$1="2026 Total", SUM($B3:AG3), IF(V$1="2027 Total", SUM($O3:AT3), SUMIFS('Transaction Ledger'!$G:$G, 'Transaction Ledger'!$H:$H, "Software Subscription", 'Transaction Ledger'!$A:$A, "&gt;="&amp;V$1, 'Transaction Ledger'!$A:$A, "&lt;="&amp;EOMONTH(V$1,0))))</f>
        <v/>
      </c>
      <c r="W13" s="4">
        <f>IF(W$1="2026 Total", SUM($B3:AH3), IF(W$1="2027 Total", SUM($O3:AU3), SUMIFS('Transaction Ledger'!$G:$G, 'Transaction Ledger'!$H:$H, "Software Subscription", 'Transaction Ledger'!$A:$A, "&gt;="&amp;W$1, 'Transaction Ledger'!$A:$A, "&lt;="&amp;EOMONTH(W$1,0))))</f>
        <v/>
      </c>
      <c r="X13" s="4">
        <f>IF(X$1="2026 Total", SUM($B3:AI3), IF(X$1="2027 Total", SUM($O3:AV3), SUMIFS('Transaction Ledger'!$G:$G, 'Transaction Ledger'!$H:$H, "Software Subscription", 'Transaction Ledger'!$A:$A, "&gt;="&amp;X$1, 'Transaction Ledger'!$A:$A, "&lt;="&amp;EOMONTH(X$1,0))))</f>
        <v/>
      </c>
      <c r="Y13" s="4">
        <f>IF(Y$1="2026 Total", SUM($B3:AJ3), IF(Y$1="2027 Total", SUM($O3:AW3), SUMIFS('Transaction Ledger'!$G:$G, 'Transaction Ledger'!$H:$H, "Software Subscription", 'Transaction Ledger'!$A:$A, "&gt;="&amp;Y$1, 'Transaction Ledger'!$A:$A, "&lt;="&amp;EOMONTH(Y$1,0))))</f>
        <v/>
      </c>
      <c r="Z13" s="4">
        <f>IF(Z$1="2026 Total", SUM($B3:AK3), IF(Z$1="2027 Total", SUM($O3:AX3), SUMIFS('Transaction Ledger'!$G:$G, 'Transaction Ledger'!$H:$H, "Software Subscription", 'Transaction Ledger'!$A:$A, "&gt;="&amp;Z$1, 'Transaction Ledger'!$A:$A, "&lt;="&amp;EOMONTH(Z$1,0))))</f>
        <v/>
      </c>
      <c r="AA13" s="4">
        <f>SUM(O13:Z13)</f>
        <v/>
      </c>
    </row>
    <row r="14">
      <c r="A14" s="7" t="inlineStr">
        <is>
          <t>Legal/Admin</t>
        </is>
      </c>
      <c r="B14" s="4">
        <f>IF(B$1="2026 Total", SUM($B3:M3), IF(B$1="2027 Total", SUM($O3:Z3), SUMIFS('Transaction Ledger'!$G:$G, 'Transaction Ledger'!$H:$H, "Legal/Admin", 'Transaction Ledger'!$A:$A, "&gt;="&amp;B$1, 'Transaction Ledger'!$A:$A, "&lt;="&amp;EOMONTH(B$1,0))))</f>
        <v/>
      </c>
      <c r="C14" s="4">
        <f>IF(C$1="2026 Total", SUM($B3:N3), IF(C$1="2027 Total", SUM($O3:AA3), SUMIFS('Transaction Ledger'!$G:$G, 'Transaction Ledger'!$H:$H, "Legal/Admin", 'Transaction Ledger'!$A:$A, "&gt;="&amp;C$1, 'Transaction Ledger'!$A:$A, "&lt;="&amp;EOMONTH(C$1,0))))</f>
        <v/>
      </c>
      <c r="D14" s="4">
        <f>IF(D$1="2026 Total", SUM($B3:O3), IF(D$1="2027 Total", SUM($O3:AB3), SUMIFS('Transaction Ledger'!$G:$G, 'Transaction Ledger'!$H:$H, "Legal/Admin", 'Transaction Ledger'!$A:$A, "&gt;="&amp;D$1, 'Transaction Ledger'!$A:$A, "&lt;="&amp;EOMONTH(D$1,0))))</f>
        <v/>
      </c>
      <c r="E14" s="4">
        <f>IF(E$1="2026 Total", SUM($B3:P3), IF(E$1="2027 Total", SUM($O3:AC3), SUMIFS('Transaction Ledger'!$G:$G, 'Transaction Ledger'!$H:$H, "Legal/Admin", 'Transaction Ledger'!$A:$A, "&gt;="&amp;E$1, 'Transaction Ledger'!$A:$A, "&lt;="&amp;EOMONTH(E$1,0))))</f>
        <v/>
      </c>
      <c r="F14" s="4">
        <f>IF(F$1="2026 Total", SUM($B3:Q3), IF(F$1="2027 Total", SUM($O3:AD3), SUMIFS('Transaction Ledger'!$G:$G, 'Transaction Ledger'!$H:$H, "Legal/Admin", 'Transaction Ledger'!$A:$A, "&gt;="&amp;F$1, 'Transaction Ledger'!$A:$A, "&lt;="&amp;EOMONTH(F$1,0))))</f>
        <v/>
      </c>
      <c r="G14" s="4">
        <f>IF(G$1="2026 Total", SUM($B3:R3), IF(G$1="2027 Total", SUM($O3:AE3), SUMIFS('Transaction Ledger'!$G:$G, 'Transaction Ledger'!$H:$H, "Legal/Admin", 'Transaction Ledger'!$A:$A, "&gt;="&amp;G$1, 'Transaction Ledger'!$A:$A, "&lt;="&amp;EOMONTH(G$1,0))))</f>
        <v/>
      </c>
      <c r="H14" s="4">
        <f>IF(H$1="2026 Total", SUM($B3:S3), IF(H$1="2027 Total", SUM($O3:AF3), SUMIFS('Transaction Ledger'!$G:$G, 'Transaction Ledger'!$H:$H, "Legal/Admin", 'Transaction Ledger'!$A:$A, "&gt;="&amp;H$1, 'Transaction Ledger'!$A:$A, "&lt;="&amp;EOMONTH(H$1,0))))</f>
        <v/>
      </c>
      <c r="I14" s="4" t="n">
        <v>0</v>
      </c>
      <c r="J14" s="4">
        <f>IF(J$1="2026 Total", SUM($B3:U3), IF(J$1="2027 Total", SUM($O3:AH3), SUMIFS('Transaction Ledger'!$G:$G, 'Transaction Ledger'!$H:$H, "Legal/Admin", 'Transaction Ledger'!$A:$A, "&gt;="&amp;J$1, 'Transaction Ledger'!$A:$A, "&lt;="&amp;EOMONTH(J$1,0))))</f>
        <v/>
      </c>
      <c r="K14" s="4">
        <f>IF(K$1="2026 Total", SUM($B3:V3), IF(K$1="2027 Total", SUM($O3:AI3), SUMIFS('Transaction Ledger'!$G:$G, 'Transaction Ledger'!$H:$H, "Legal/Admin", 'Transaction Ledger'!$A:$A, "&gt;="&amp;K$1, 'Transaction Ledger'!$A:$A, "&lt;="&amp;EOMONTH(K$1,0))))</f>
        <v/>
      </c>
      <c r="L14" s="4">
        <f>IF(L$1="2026 Total", SUM($B3:W3), IF(L$1="2027 Total", SUM($O3:AJ3), SUMIFS('Transaction Ledger'!$G:$G, 'Transaction Ledger'!$H:$H, "Legal/Admin", 'Transaction Ledger'!$A:$A, "&gt;="&amp;L$1, 'Transaction Ledger'!$A:$A, "&lt;="&amp;EOMONTH(L$1,0))))</f>
        <v/>
      </c>
      <c r="M14" s="4">
        <f>IF(M$1="2026 Total", SUM($B3:X3), IF(M$1="2027 Total", SUM($O3:AK3), SUMIFS('Transaction Ledger'!$G:$G, 'Transaction Ledger'!$H:$H, "Legal/Admin", 'Transaction Ledger'!$A:$A, "&gt;="&amp;M$1, 'Transaction Ledger'!$A:$A, "&lt;="&amp;EOMONTH(M$1,0))))</f>
        <v/>
      </c>
      <c r="N14" s="4">
        <f>SUM(B14:M14)</f>
        <v/>
      </c>
      <c r="O14" s="4">
        <f>IF(O$1="2026 Total", SUM($B3:Z3), IF(O$1="2027 Total", SUM($O3:AM3), SUMIFS('Transaction Ledger'!$G:$G, 'Transaction Ledger'!$H:$H, "Legal/Admin", 'Transaction Ledger'!$A:$A, "&gt;="&amp;O$1, 'Transaction Ledger'!$A:$A, "&lt;="&amp;EOMONTH(O$1,0))))</f>
        <v/>
      </c>
      <c r="P14" s="4">
        <f>IF(P$1="2026 Total", SUM($B3:AA3), IF(P$1="2027 Total", SUM($O3:AN3), SUMIFS('Transaction Ledger'!$G:$G, 'Transaction Ledger'!$H:$H, "Legal/Admin", 'Transaction Ledger'!$A:$A, "&gt;="&amp;P$1, 'Transaction Ledger'!$A:$A, "&lt;="&amp;EOMONTH(P$1,0))))</f>
        <v/>
      </c>
      <c r="Q14" s="4">
        <f>IF(Q$1="2026 Total", SUM($B3:AB3), IF(Q$1="2027 Total", SUM($O3:AO3), SUMIFS('Transaction Ledger'!$G:$G, 'Transaction Ledger'!$H:$H, "Legal/Admin", 'Transaction Ledger'!$A:$A, "&gt;="&amp;Q$1, 'Transaction Ledger'!$A:$A, "&lt;="&amp;EOMONTH(Q$1,0))))</f>
        <v/>
      </c>
      <c r="R14" s="4">
        <f>IF(R$1="2026 Total", SUM($B3:AC3), IF(R$1="2027 Total", SUM($O3:AP3), SUMIFS('Transaction Ledger'!$G:$G, 'Transaction Ledger'!$H:$H, "Legal/Admin", 'Transaction Ledger'!$A:$A, "&gt;="&amp;R$1, 'Transaction Ledger'!$A:$A, "&lt;="&amp;EOMONTH(R$1,0))))</f>
        <v/>
      </c>
      <c r="S14" s="4">
        <f>IF(S$1="2026 Total", SUM($B3:AD3), IF(S$1="2027 Total", SUM($O3:AQ3), SUMIFS('Transaction Ledger'!$G:$G, 'Transaction Ledger'!$H:$H, "Legal/Admin", 'Transaction Ledger'!$A:$A, "&gt;="&amp;S$1, 'Transaction Ledger'!$A:$A, "&lt;="&amp;EOMONTH(S$1,0))))</f>
        <v/>
      </c>
      <c r="T14" s="4">
        <f>IF(T$1="2026 Total", SUM($B3:AE3), IF(T$1="2027 Total", SUM($O3:AR3), SUMIFS('Transaction Ledger'!$G:$G, 'Transaction Ledger'!$H:$H, "Legal/Admin", 'Transaction Ledger'!$A:$A, "&gt;="&amp;T$1, 'Transaction Ledger'!$A:$A, "&lt;="&amp;EOMONTH(T$1,0))))</f>
        <v/>
      </c>
      <c r="U14" s="4">
        <f>IF(U$1="2026 Total", SUM($B3:AF3), IF(U$1="2027 Total", SUM($O3:AS3), SUMIFS('Transaction Ledger'!$G:$G, 'Transaction Ledger'!$H:$H, "Legal/Admin", 'Transaction Ledger'!$A:$A, "&gt;="&amp;U$1, 'Transaction Ledger'!$A:$A, "&lt;="&amp;EOMONTH(U$1,0))))</f>
        <v/>
      </c>
      <c r="V14" s="4">
        <f>IF(V$1="2026 Total", SUM($B3:AG3), IF(V$1="2027 Total", SUM($O3:AT3), SUMIFS('Transaction Ledger'!$G:$G, 'Transaction Ledger'!$H:$H, "Legal/Admin", 'Transaction Ledger'!$A:$A, "&gt;="&amp;V$1, 'Transaction Ledger'!$A:$A, "&lt;="&amp;EOMONTH(V$1,0))))</f>
        <v/>
      </c>
      <c r="W14" s="4">
        <f>IF(W$1="2026 Total", SUM($B3:AH3), IF(W$1="2027 Total", SUM($O3:AU3), SUMIFS('Transaction Ledger'!$G:$G, 'Transaction Ledger'!$H:$H, "Legal/Admin", 'Transaction Ledger'!$A:$A, "&gt;="&amp;W$1, 'Transaction Ledger'!$A:$A, "&lt;="&amp;EOMONTH(W$1,0))))</f>
        <v/>
      </c>
      <c r="X14" s="4">
        <f>IF(X$1="2026 Total", SUM($B3:AI3), IF(X$1="2027 Total", SUM($O3:AV3), SUMIFS('Transaction Ledger'!$G:$G, 'Transaction Ledger'!$H:$H, "Legal/Admin", 'Transaction Ledger'!$A:$A, "&gt;="&amp;X$1, 'Transaction Ledger'!$A:$A, "&lt;="&amp;EOMONTH(X$1,0))))</f>
        <v/>
      </c>
      <c r="Y14" s="4">
        <f>IF(Y$1="2026 Total", SUM($B3:AJ3), IF(Y$1="2027 Total", SUM($O3:AW3), SUMIFS('Transaction Ledger'!$G:$G, 'Transaction Ledger'!$H:$H, "Legal/Admin", 'Transaction Ledger'!$A:$A, "&gt;="&amp;Y$1, 'Transaction Ledger'!$A:$A, "&lt;="&amp;EOMONTH(Y$1,0))))</f>
        <v/>
      </c>
      <c r="Z14" s="4">
        <f>IF(Z$1="2026 Total", SUM($B3:AK3), IF(Z$1="2027 Total", SUM($O3:AX3), SUMIFS('Transaction Ledger'!$G:$G, 'Transaction Ledger'!$H:$H, "Legal/Admin", 'Transaction Ledger'!$A:$A, "&gt;="&amp;Z$1, 'Transaction Ledger'!$A:$A, "&lt;="&amp;EOMONTH(Z$1,0))))</f>
        <v/>
      </c>
      <c r="AA14" s="4">
        <f>SUM(O14:Z14)</f>
        <v/>
      </c>
    </row>
    <row r="15">
      <c r="A15" s="7" t="inlineStr">
        <is>
          <t>Marketing</t>
        </is>
      </c>
      <c r="B15" s="4">
        <f>IF(B$1="2026 Total", SUM($B3:M3), IF(B$1="2027 Total", SUM($O3:Z3), SUMIFS('Transaction Ledger'!$G:$G, 'Transaction Ledger'!$H:$H, "Marketing", 'Transaction Ledger'!$A:$A, "&gt;="&amp;B$1, 'Transaction Ledger'!$A:$A, "&lt;="&amp;EOMONTH(B$1,0))))</f>
        <v/>
      </c>
      <c r="C15" s="4">
        <f>IF(C$1="2026 Total", SUM($B3:N3), IF(C$1="2027 Total", SUM($O3:AA3), SUMIFS('Transaction Ledger'!$G:$G, 'Transaction Ledger'!$H:$H, "Marketing", 'Transaction Ledger'!$A:$A, "&gt;="&amp;C$1, 'Transaction Ledger'!$A:$A, "&lt;="&amp;EOMONTH(C$1,0))))</f>
        <v/>
      </c>
      <c r="D15" s="4">
        <f>IF(D$1="2026 Total", SUM($B3:O3), IF(D$1="2027 Total", SUM($O3:AB3), SUMIFS('Transaction Ledger'!$G:$G, 'Transaction Ledger'!$H:$H, "Marketing", 'Transaction Ledger'!$A:$A, "&gt;="&amp;D$1, 'Transaction Ledger'!$A:$A, "&lt;="&amp;EOMONTH(D$1,0))))</f>
        <v/>
      </c>
      <c r="E15" s="4">
        <f>IF(E$1="2026 Total", SUM($B3:P3), IF(E$1="2027 Total", SUM($O3:AC3), SUMIFS('Transaction Ledger'!$G:$G, 'Transaction Ledger'!$H:$H, "Marketing", 'Transaction Ledger'!$A:$A, "&gt;="&amp;E$1, 'Transaction Ledger'!$A:$A, "&lt;="&amp;EOMONTH(E$1,0))))</f>
        <v/>
      </c>
      <c r="F15" s="4">
        <f>IF(F$1="2026 Total", SUM($B3:Q3), IF(F$1="2027 Total", SUM($O3:AD3), SUMIFS('Transaction Ledger'!$G:$G, 'Transaction Ledger'!$H:$H, "Marketing", 'Transaction Ledger'!$A:$A, "&gt;="&amp;F$1, 'Transaction Ledger'!$A:$A, "&lt;="&amp;EOMONTH(F$1,0))))</f>
        <v/>
      </c>
      <c r="G15" s="4">
        <f>IF(G$1="2026 Total", SUM($B3:R3), IF(G$1="2027 Total", SUM($O3:AE3), SUMIFS('Transaction Ledger'!$G:$G, 'Transaction Ledger'!$H:$H, "Marketing", 'Transaction Ledger'!$A:$A, "&gt;="&amp;G$1, 'Transaction Ledger'!$A:$A, "&lt;="&amp;EOMONTH(G$1,0))))</f>
        <v/>
      </c>
      <c r="H15" s="4">
        <f>IF(H$1="2026 Total", SUM($B3:S3), IF(H$1="2027 Total", SUM($O3:AF3), SUMIFS('Transaction Ledger'!$G:$G, 'Transaction Ledger'!$H:$H, "Marketing", 'Transaction Ledger'!$A:$A, "&gt;="&amp;H$1, 'Transaction Ledger'!$A:$A, "&lt;="&amp;EOMONTH(H$1,0))))</f>
        <v/>
      </c>
      <c r="I15" s="4" t="n">
        <v>0</v>
      </c>
      <c r="J15" s="4">
        <f>IF(J$1="2026 Total", SUM($B3:U3), IF(J$1="2027 Total", SUM($O3:AH3), SUMIFS('Transaction Ledger'!$G:$G, 'Transaction Ledger'!$H:$H, "Marketing", 'Transaction Ledger'!$A:$A, "&gt;="&amp;J$1, 'Transaction Ledger'!$A:$A, "&lt;="&amp;EOMONTH(J$1,0))))</f>
        <v/>
      </c>
      <c r="K15" s="4">
        <f>IF(K$1="2026 Total", SUM($B3:V3), IF(K$1="2027 Total", SUM($O3:AI3), SUMIFS('Transaction Ledger'!$G:$G, 'Transaction Ledger'!$H:$H, "Marketing", 'Transaction Ledger'!$A:$A, "&gt;="&amp;K$1, 'Transaction Ledger'!$A:$A, "&lt;="&amp;EOMONTH(K$1,0))))</f>
        <v/>
      </c>
      <c r="L15" s="4">
        <f>IF(L$1="2026 Total", SUM($B3:W3), IF(L$1="2027 Total", SUM($O3:AJ3), SUMIFS('Transaction Ledger'!$G:$G, 'Transaction Ledger'!$H:$H, "Marketing", 'Transaction Ledger'!$A:$A, "&gt;="&amp;L$1, 'Transaction Ledger'!$A:$A, "&lt;="&amp;EOMONTH(L$1,0))))</f>
        <v/>
      </c>
      <c r="M15" s="4">
        <f>IF(M$1="2026 Total", SUM($B3:X3), IF(M$1="2027 Total", SUM($O3:AK3), SUMIFS('Transaction Ledger'!$G:$G, 'Transaction Ledger'!$H:$H, "Marketing", 'Transaction Ledger'!$A:$A, "&gt;="&amp;M$1, 'Transaction Ledger'!$A:$A, "&lt;="&amp;EOMONTH(M$1,0))))</f>
        <v/>
      </c>
      <c r="N15" s="4">
        <f>SUM(B15:M15)</f>
        <v/>
      </c>
      <c r="O15" s="4">
        <f>IF(O$1="2026 Total", SUM($B3:Z3), IF(O$1="2027 Total", SUM($O3:AM3), SUMIFS('Transaction Ledger'!$G:$G, 'Transaction Ledger'!$H:$H, "Marketing", 'Transaction Ledger'!$A:$A, "&gt;="&amp;O$1, 'Transaction Ledger'!$A:$A, "&lt;="&amp;EOMONTH(O$1,0))))</f>
        <v/>
      </c>
      <c r="P15" s="4">
        <f>IF(P$1="2026 Total", SUM($B3:AA3), IF(P$1="2027 Total", SUM($O3:AN3), SUMIFS('Transaction Ledger'!$G:$G, 'Transaction Ledger'!$H:$H, "Marketing", 'Transaction Ledger'!$A:$A, "&gt;="&amp;P$1, 'Transaction Ledger'!$A:$A, "&lt;="&amp;EOMONTH(P$1,0))))</f>
        <v/>
      </c>
      <c r="Q15" s="4">
        <f>IF(Q$1="2026 Total", SUM($B3:AB3), IF(Q$1="2027 Total", SUM($O3:AO3), SUMIFS('Transaction Ledger'!$G:$G, 'Transaction Ledger'!$H:$H, "Marketing", 'Transaction Ledger'!$A:$A, "&gt;="&amp;Q$1, 'Transaction Ledger'!$A:$A, "&lt;="&amp;EOMONTH(Q$1,0))))</f>
        <v/>
      </c>
      <c r="R15" s="4">
        <f>IF(R$1="2026 Total", SUM($B3:AC3), IF(R$1="2027 Total", SUM($O3:AP3), SUMIFS('Transaction Ledger'!$G:$G, 'Transaction Ledger'!$H:$H, "Marketing", 'Transaction Ledger'!$A:$A, "&gt;="&amp;R$1, 'Transaction Ledger'!$A:$A, "&lt;="&amp;EOMONTH(R$1,0))))</f>
        <v/>
      </c>
      <c r="S15" s="4">
        <f>IF(S$1="2026 Total", SUM($B3:AD3), IF(S$1="2027 Total", SUM($O3:AQ3), SUMIFS('Transaction Ledger'!$G:$G, 'Transaction Ledger'!$H:$H, "Marketing", 'Transaction Ledger'!$A:$A, "&gt;="&amp;S$1, 'Transaction Ledger'!$A:$A, "&lt;="&amp;EOMONTH(S$1,0))))</f>
        <v/>
      </c>
      <c r="T15" s="4">
        <f>IF(T$1="2026 Total", SUM($B3:AE3), IF(T$1="2027 Total", SUM($O3:AR3), SUMIFS('Transaction Ledger'!$G:$G, 'Transaction Ledger'!$H:$H, "Marketing", 'Transaction Ledger'!$A:$A, "&gt;="&amp;T$1, 'Transaction Ledger'!$A:$A, "&lt;="&amp;EOMONTH(T$1,0))))</f>
        <v/>
      </c>
      <c r="U15" s="4">
        <f>IF(U$1="2026 Total", SUM($B3:AF3), IF(U$1="2027 Total", SUM($O3:AS3), SUMIFS('Transaction Ledger'!$G:$G, 'Transaction Ledger'!$H:$H, "Marketing", 'Transaction Ledger'!$A:$A, "&gt;="&amp;U$1, 'Transaction Ledger'!$A:$A, "&lt;="&amp;EOMONTH(U$1,0))))</f>
        <v/>
      </c>
      <c r="V15" s="4">
        <f>IF(V$1="2026 Total", SUM($B3:AG3), IF(V$1="2027 Total", SUM($O3:AT3), SUMIFS('Transaction Ledger'!$G:$G, 'Transaction Ledger'!$H:$H, "Marketing", 'Transaction Ledger'!$A:$A, "&gt;="&amp;V$1, 'Transaction Ledger'!$A:$A, "&lt;="&amp;EOMONTH(V$1,0))))</f>
        <v/>
      </c>
      <c r="W15" s="4">
        <f>IF(W$1="2026 Total", SUM($B3:AH3), IF(W$1="2027 Total", SUM($O3:AU3), SUMIFS('Transaction Ledger'!$G:$G, 'Transaction Ledger'!$H:$H, "Marketing", 'Transaction Ledger'!$A:$A, "&gt;="&amp;W$1, 'Transaction Ledger'!$A:$A, "&lt;="&amp;EOMONTH(W$1,0))))</f>
        <v/>
      </c>
      <c r="X15" s="4">
        <f>IF(X$1="2026 Total", SUM($B3:AI3), IF(X$1="2027 Total", SUM($O3:AV3), SUMIFS('Transaction Ledger'!$G:$G, 'Transaction Ledger'!$H:$H, "Marketing", 'Transaction Ledger'!$A:$A, "&gt;="&amp;X$1, 'Transaction Ledger'!$A:$A, "&lt;="&amp;EOMONTH(X$1,0))))</f>
        <v/>
      </c>
      <c r="Y15" s="4">
        <f>IF(Y$1="2026 Total", SUM($B3:AJ3), IF(Y$1="2027 Total", SUM($O3:AW3), SUMIFS('Transaction Ledger'!$G:$G, 'Transaction Ledger'!$H:$H, "Marketing", 'Transaction Ledger'!$A:$A, "&gt;="&amp;Y$1, 'Transaction Ledger'!$A:$A, "&lt;="&amp;EOMONTH(Y$1,0))))</f>
        <v/>
      </c>
      <c r="Z15" s="4">
        <f>IF(Z$1="2026 Total", SUM($B3:AK3), IF(Z$1="2027 Total", SUM($O3:AX3), SUMIFS('Transaction Ledger'!$G:$G, 'Transaction Ledger'!$H:$H, "Marketing", 'Transaction Ledger'!$A:$A, "&gt;="&amp;Z$1, 'Transaction Ledger'!$A:$A, "&lt;="&amp;EOMONTH(Z$1,0))))</f>
        <v/>
      </c>
      <c r="AA15" s="4">
        <f>SUM(O15:Z15)</f>
        <v/>
      </c>
    </row>
    <row r="16">
      <c r="A16" s="7" t="inlineStr">
        <is>
          <t>Total Operating Expenses</t>
        </is>
      </c>
      <c r="B16" s="4">
        <f>SUM(B13:B15)</f>
        <v/>
      </c>
      <c r="C16" s="4">
        <f>SUM(C13:C15)</f>
        <v/>
      </c>
      <c r="D16" s="4">
        <f>SUM(D13:D15)</f>
        <v/>
      </c>
      <c r="E16" s="4">
        <f>SUM(E13:E15)</f>
        <v/>
      </c>
      <c r="F16" s="4">
        <f>SUM(F13:F15)</f>
        <v/>
      </c>
      <c r="G16" s="4">
        <f>SUM(G13:G15)</f>
        <v/>
      </c>
      <c r="H16" s="4">
        <f>SUM(H13:H15)</f>
        <v/>
      </c>
      <c r="I16" s="4">
        <f>SUM(I13:I15)</f>
        <v/>
      </c>
      <c r="J16" s="4">
        <f>SUM(J13:J15)</f>
        <v/>
      </c>
      <c r="K16" s="4">
        <f>SUM(K13:K15)</f>
        <v/>
      </c>
      <c r="L16" s="4">
        <f>SUM(L13:L15)</f>
        <v/>
      </c>
      <c r="M16" s="4">
        <f>SUM(M13:M15)</f>
        <v/>
      </c>
      <c r="N16" s="4" t="n">
        <v>10000</v>
      </c>
      <c r="O16" s="4" t="n">
        <v>4000</v>
      </c>
      <c r="P16" s="4" t="n">
        <v>4500</v>
      </c>
      <c r="Q16" s="4" t="n">
        <v>5000</v>
      </c>
      <c r="R16" s="4" t="n">
        <v>5000</v>
      </c>
      <c r="S16" s="4" t="n">
        <v>5500</v>
      </c>
      <c r="T16" s="4" t="n">
        <v>6000</v>
      </c>
      <c r="U16" s="4" t="n">
        <v>6000</v>
      </c>
      <c r="V16" s="4" t="n">
        <v>6000</v>
      </c>
      <c r="W16" s="4" t="n">
        <v>6000</v>
      </c>
      <c r="X16" s="4" t="n">
        <v>6000</v>
      </c>
      <c r="Y16" s="4" t="n">
        <v>6000</v>
      </c>
      <c r="Z16" s="4" t="n">
        <v>6000</v>
      </c>
      <c r="AA16" s="4" t="n">
        <v>60000</v>
      </c>
    </row>
    <row r="17">
      <c r="A17" s="7" t="inlineStr">
        <is>
          <t>EBITDA</t>
        </is>
      </c>
      <c r="B17" s="4">
        <f>B11-B16</f>
        <v/>
      </c>
      <c r="C17" s="4">
        <f>C11-C16</f>
        <v/>
      </c>
      <c r="D17" s="4">
        <f>D11-D16</f>
        <v/>
      </c>
      <c r="E17" s="4">
        <f>E11-E16</f>
        <v/>
      </c>
      <c r="F17" s="4">
        <f>F11-F16</f>
        <v/>
      </c>
      <c r="G17" s="4">
        <f>G11-G16</f>
        <v/>
      </c>
      <c r="H17" s="4">
        <f>H11-H16</f>
        <v/>
      </c>
      <c r="I17" s="4" t="n">
        <v>27205</v>
      </c>
      <c r="J17" s="4" t="n">
        <v>22000</v>
      </c>
      <c r="K17" s="4" t="n">
        <v>29000</v>
      </c>
      <c r="L17" s="4" t="n">
        <v>37500</v>
      </c>
      <c r="M17" s="4" t="n">
        <v>45000</v>
      </c>
      <c r="N17" s="4" t="n">
        <v>141605</v>
      </c>
      <c r="O17" s="4" t="n">
        <v>53000</v>
      </c>
      <c r="P17" s="4" t="n">
        <v>62500</v>
      </c>
      <c r="Q17" s="4" t="n">
        <v>72000</v>
      </c>
      <c r="R17" s="4" t="n">
        <v>81000</v>
      </c>
      <c r="S17" s="4" t="n">
        <v>87500</v>
      </c>
      <c r="T17" s="4" t="n">
        <v>94000</v>
      </c>
      <c r="U17" s="4" t="n">
        <v>94000</v>
      </c>
      <c r="V17" s="4" t="n">
        <v>94000</v>
      </c>
      <c r="W17" s="4" t="n">
        <v>94000</v>
      </c>
      <c r="X17" s="4" t="n">
        <v>94000</v>
      </c>
      <c r="Y17" s="4" t="n">
        <v>94000</v>
      </c>
      <c r="Z17" s="4" t="n">
        <v>94000</v>
      </c>
      <c r="AA17" s="4" t="n">
        <v>1020000</v>
      </c>
    </row>
    <row r="18">
      <c r="A18" s="7" t="inlineStr">
        <is>
          <t>Net Income</t>
        </is>
      </c>
      <c r="B18" s="4">
        <f>B17</f>
        <v/>
      </c>
      <c r="C18" s="4">
        <f>C17</f>
        <v/>
      </c>
      <c r="D18" s="4">
        <f>D17</f>
        <v/>
      </c>
      <c r="E18" s="4">
        <f>E17</f>
        <v/>
      </c>
      <c r="F18" s="4">
        <f>F17</f>
        <v/>
      </c>
      <c r="G18" s="4">
        <f>G17</f>
        <v/>
      </c>
      <c r="H18" s="4">
        <f>H17</f>
        <v/>
      </c>
      <c r="I18" s="4" t="n">
        <v>27205</v>
      </c>
      <c r="J18" s="4" t="n">
        <v>22000</v>
      </c>
      <c r="K18" s="4" t="n">
        <v>29000</v>
      </c>
      <c r="L18" s="4" t="n">
        <v>37500</v>
      </c>
      <c r="M18" s="4" t="n">
        <v>45000</v>
      </c>
      <c r="N18" s="4" t="n">
        <v>141605</v>
      </c>
      <c r="O18" s="4" t="n">
        <v>53000</v>
      </c>
      <c r="P18" s="4" t="n">
        <v>62500</v>
      </c>
      <c r="Q18" s="4" t="n">
        <v>72000</v>
      </c>
      <c r="R18" s="4" t="n">
        <v>81000</v>
      </c>
      <c r="S18" s="4" t="n">
        <v>87500</v>
      </c>
      <c r="T18" s="4" t="n">
        <v>94000</v>
      </c>
      <c r="U18" s="4" t="n">
        <v>94000</v>
      </c>
      <c r="V18" s="4" t="n">
        <v>94000</v>
      </c>
      <c r="W18" s="4" t="n">
        <v>94000</v>
      </c>
      <c r="X18" s="4" t="n">
        <v>94000</v>
      </c>
      <c r="Y18" s="4" t="n">
        <v>94000</v>
      </c>
      <c r="Z18" s="4" t="n">
        <v>94000</v>
      </c>
      <c r="AA18" s="4" t="n">
        <v>1020000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25"/>
  <sheetViews>
    <sheetView workbookViewId="0">
      <selection activeCell="A1" sqref="A1"/>
    </sheetView>
  </sheetViews>
  <sheetFormatPr baseColWidth="8" defaultColWidth="12.63" defaultRowHeight="15.75" customHeight="1"/>
  <cols>
    <col width="18.75" customWidth="1" style="19" min="1" max="1"/>
    <col width="26.75" customWidth="1" style="19" min="2" max="2"/>
  </cols>
  <sheetData>
    <row r="1">
      <c r="A1" s="1" t="inlineStr">
        <is>
          <t>Account</t>
        </is>
      </c>
      <c r="B1" s="1" t="inlineStr">
        <is>
          <t>Balance</t>
        </is>
      </c>
    </row>
    <row r="2">
      <c r="A2" s="7" t="inlineStr">
        <is>
          <t>Assets</t>
        </is>
      </c>
      <c r="B2" s="4" t="n"/>
    </row>
    <row r="3">
      <c r="A3" s="7" t="inlineStr">
        <is>
          <t>Current Assets</t>
        </is>
      </c>
      <c r="B3" s="4" t="n"/>
    </row>
    <row r="4">
      <c r="A4" s="7" t="inlineStr">
        <is>
          <t>Cash &amp; Cash Equivalents</t>
        </is>
      </c>
      <c r="B4" s="4" t="n">
        <v>5430</v>
      </c>
    </row>
    <row r="5">
      <c r="A5" s="7" t="inlineStr">
        <is>
          <t>Accounts Receivable</t>
        </is>
      </c>
      <c r="B5" s="4" t="n">
        <v>27175</v>
      </c>
    </row>
    <row r="6">
      <c r="A6" s="7" t="inlineStr">
        <is>
          <t>Total Assets</t>
        </is>
      </c>
      <c r="B6" s="4" t="n">
        <v>32605</v>
      </c>
    </row>
    <row r="7">
      <c r="A7" s="7" t="inlineStr">
        <is>
          <t>Liabilities</t>
        </is>
      </c>
      <c r="B7" s="4" t="n">
        <v>0</v>
      </c>
    </row>
    <row r="8">
      <c r="A8" s="7" t="inlineStr">
        <is>
          <t>Current Liabilities</t>
        </is>
      </c>
      <c r="B8" s="4" t="n"/>
    </row>
    <row r="9">
      <c r="A9" s="7" t="inlineStr">
        <is>
          <t>Accounts Payable</t>
        </is>
      </c>
      <c r="B9" s="4" t="n">
        <v>0</v>
      </c>
    </row>
    <row r="10">
      <c r="A10" s="7" t="inlineStr">
        <is>
          <t>Deferred Revenue</t>
        </is>
      </c>
      <c r="B10" s="4" t="n">
        <v>0</v>
      </c>
    </row>
    <row r="11">
      <c r="A11" s="7" t="inlineStr">
        <is>
          <t>Total Liabilities</t>
        </is>
      </c>
      <c r="B11" s="4" t="n">
        <v>0</v>
      </c>
    </row>
    <row r="12">
      <c r="A12" s="7" t="inlineStr">
        <is>
          <t>Owner's Equity</t>
        </is>
      </c>
      <c r="B12" s="4" t="n"/>
    </row>
    <row r="13">
      <c r="A13" s="7" t="inlineStr">
        <is>
          <t>Initial Contribution</t>
        </is>
      </c>
      <c r="B13" s="4" t="n">
        <v>0</v>
      </c>
    </row>
    <row r="14">
      <c r="A14" s="7" t="inlineStr">
        <is>
          <t>Retained Earnings</t>
        </is>
      </c>
      <c r="B14" s="4" t="n">
        <v>32605</v>
      </c>
    </row>
    <row r="15">
      <c r="A15" s="7" t="inlineStr">
        <is>
          <t>Balance Sheet Check</t>
        </is>
      </c>
      <c r="B15" s="4">
        <f>B6-B16</f>
        <v/>
      </c>
    </row>
    <row r="16">
      <c r="A16" s="7" t="inlineStr">
        <is>
          <t>Total Liabilities &amp; Equity</t>
        </is>
      </c>
      <c r="B16" s="4" t="n">
        <v>32605</v>
      </c>
    </row>
    <row r="17">
      <c r="A17" s="7" t="inlineStr">
        <is>
          <t>Balance Check</t>
        </is>
      </c>
      <c r="B17" s="4">
        <f>B6-B16</f>
        <v/>
      </c>
    </row>
    <row r="24">
      <c r="B24" s="0" t="n">
        <v>30305</v>
      </c>
    </row>
    <row r="25">
      <c r="B25" s="1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B25"/>
  <sheetViews>
    <sheetView workbookViewId="0">
      <selection activeCell="A1" sqref="A1"/>
    </sheetView>
  </sheetViews>
  <sheetFormatPr baseColWidth="8" defaultColWidth="12.63" defaultRowHeight="15.75" customHeight="1"/>
  <cols>
    <col width="26.75" customWidth="1" style="19" min="1" max="1"/>
    <col width="7.25" customWidth="1" style="19" min="2" max="2"/>
  </cols>
  <sheetData>
    <row r="1">
      <c r="A1" s="1" t="inlineStr">
        <is>
          <t>Category</t>
        </is>
      </c>
      <c r="B1" s="1" t="inlineStr">
        <is>
          <t>Amount</t>
        </is>
      </c>
    </row>
    <row r="2">
      <c r="A2" s="7" t="inlineStr">
        <is>
          <t>Cash Flow from Operating Activities</t>
        </is>
      </c>
      <c r="B2" s="4" t="n"/>
    </row>
    <row r="3">
      <c r="A3" s="7" t="inlineStr">
        <is>
          <t>Net Income</t>
        </is>
      </c>
      <c r="B3" s="4" t="n">
        <v>32605</v>
      </c>
    </row>
    <row r="4">
      <c r="A4" s="7" t="inlineStr">
        <is>
          <t>Adjustments for A/R changes</t>
        </is>
      </c>
      <c r="B4" s="4" t="n">
        <v>-27175</v>
      </c>
    </row>
    <row r="5">
      <c r="A5" s="7" t="inlineStr">
        <is>
          <t>Net Cash from Operating Activities</t>
        </is>
      </c>
      <c r="B5" s="4" t="n">
        <v>5430</v>
      </c>
    </row>
    <row r="6">
      <c r="A6" s="7" t="inlineStr">
        <is>
          <t>Cash Flow from Investing Activities</t>
        </is>
      </c>
      <c r="B6" s="4" t="n">
        <v>0</v>
      </c>
    </row>
    <row r="7">
      <c r="A7" s="7" t="inlineStr">
        <is>
          <t>Cash Flow from Financing Activities</t>
        </is>
      </c>
      <c r="B7" s="4">
        <f>'Balance Sheet'!B13</f>
        <v/>
      </c>
    </row>
    <row r="8">
      <c r="A8" s="7" t="inlineStr">
        <is>
          <t>Net Change in Cash</t>
        </is>
      </c>
      <c r="B8" s="4" t="n">
        <v>5430</v>
      </c>
    </row>
    <row r="9">
      <c r="A9" s="7" t="inlineStr">
        <is>
          <t>Ending Cash Balance</t>
        </is>
      </c>
      <c r="B9" s="4" t="n">
        <v>5430</v>
      </c>
    </row>
    <row r="10">
      <c r="B10" s="0" t="n">
        <v>5430</v>
      </c>
    </row>
    <row r="23">
      <c r="B23" s="0" t="n">
        <v>5430</v>
      </c>
    </row>
    <row r="25">
      <c r="B25" s="0" t="n">
        <v>5430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I1199"/>
  <sheetViews>
    <sheetView workbookViewId="0">
      <selection activeCell="A1" sqref="A1"/>
    </sheetView>
  </sheetViews>
  <sheetFormatPr baseColWidth="8" defaultColWidth="12.63" defaultRowHeight="15.75" customHeight="1"/>
  <cols>
    <col width="9.130000000000001" customWidth="1" style="19" min="1" max="1"/>
    <col width="12.63" customWidth="1" style="19" min="2" max="2"/>
    <col width="14.25" customWidth="1" style="19" min="3" max="3"/>
    <col width="67.88" customWidth="1" style="19" min="4" max="4"/>
    <col width="12.38" customWidth="1" style="19" min="5" max="5"/>
    <col width="26.25" customWidth="1" style="19" min="6" max="6"/>
    <col width="10.5" customWidth="1" style="19" min="7" max="7"/>
    <col width="20.38" customWidth="1" style="19" min="8" max="8"/>
    <col width="31.25" customWidth="1" style="19" min="9" max="9"/>
  </cols>
  <sheetData>
    <row r="1">
      <c r="A1" s="1" t="inlineStr">
        <is>
          <t>Date</t>
        </is>
      </c>
      <c r="B1" s="1" t="inlineStr">
        <is>
          <t>Transaction ID</t>
        </is>
      </c>
      <c r="C1" s="1" t="inlineStr">
        <is>
          <t>Platform/Source</t>
        </is>
      </c>
      <c r="D1" s="1" t="inlineStr">
        <is>
          <t>Description</t>
        </is>
      </c>
      <c r="E1" s="1" t="inlineStr">
        <is>
          <t>Gross Amount</t>
        </is>
      </c>
      <c r="F1" s="1" t="inlineStr">
        <is>
          <t>Platform/Stripe Processing Fee</t>
        </is>
      </c>
      <c r="G1" s="1" t="inlineStr">
        <is>
          <t>Net Amount</t>
        </is>
      </c>
      <c r="H1" s="1" t="inlineStr">
        <is>
          <t>Category</t>
        </is>
      </c>
      <c r="I1" s="1" t="inlineStr">
        <is>
          <t>Status</t>
        </is>
      </c>
    </row>
    <row r="2">
      <c r="A2" s="21" t="n">
        <v>46249</v>
      </c>
      <c r="B2" s="7" t="inlineStr">
        <is>
          <t>CB-001</t>
        </is>
      </c>
      <c r="C2" s="7" t="inlineStr">
        <is>
          <t>Opire / Stripe</t>
        </is>
      </c>
      <c r="D2" s="7" t="inlineStr">
        <is>
          <t>claude-builders-bounty PR #3739</t>
        </is>
      </c>
      <c r="E2" s="4" t="n">
        <v>50</v>
      </c>
      <c r="F2" s="4" t="n">
        <v>0</v>
      </c>
      <c r="G2" s="4" t="n">
        <v>50</v>
      </c>
      <c r="H2" s="7" t="inlineStr">
        <is>
          <t>Bounty Revenue</t>
        </is>
      </c>
      <c r="I2" s="7" t="inlineStr">
        <is>
          <t>Pending Merge</t>
        </is>
      </c>
    </row>
    <row r="3">
      <c r="A3" s="21" t="n">
        <v>46249</v>
      </c>
      <c r="B3" s="7" t="inlineStr">
        <is>
          <t>CB-002</t>
        </is>
      </c>
      <c r="C3" s="7" t="inlineStr">
        <is>
          <t>Opire / Stripe</t>
        </is>
      </c>
      <c r="D3" s="7" t="inlineStr">
        <is>
          <t>claude-builders-bounty PR #3740</t>
        </is>
      </c>
      <c r="E3" s="4" t="n">
        <v>75</v>
      </c>
      <c r="F3" s="4" t="n">
        <v>0</v>
      </c>
      <c r="G3" s="4" t="n">
        <v>75</v>
      </c>
      <c r="H3" s="7" t="inlineStr">
        <is>
          <t>Bounty Revenue</t>
        </is>
      </c>
      <c r="I3" s="7" t="inlineStr">
        <is>
          <t>Pending Merge</t>
        </is>
      </c>
    </row>
    <row r="4">
      <c r="A4" s="21" t="n">
        <v>46249</v>
      </c>
      <c r="B4" s="7" t="inlineStr">
        <is>
          <t>CB-003</t>
        </is>
      </c>
      <c r="C4" s="7" t="inlineStr">
        <is>
          <t>Opire / Stripe</t>
        </is>
      </c>
      <c r="D4" s="7" t="inlineStr">
        <is>
          <t>claude-builders-bounty PR #3741</t>
        </is>
      </c>
      <c r="E4" s="4" t="n">
        <v>100</v>
      </c>
      <c r="F4" s="4" t="n">
        <v>0</v>
      </c>
      <c r="G4" s="4" t="n">
        <v>100</v>
      </c>
      <c r="H4" s="7" t="inlineStr">
        <is>
          <t>Bounty Revenue</t>
        </is>
      </c>
      <c r="I4" s="7" t="inlineStr">
        <is>
          <t>Pending Merge</t>
        </is>
      </c>
    </row>
    <row r="5">
      <c r="A5" s="22" t="n">
        <v>46250</v>
      </c>
      <c r="B5" s="17" t="inlineStr">
        <is>
          <t>AP-9914</t>
        </is>
      </c>
      <c r="C5" s="17" t="inlineStr">
        <is>
          <t>Algora / Stripe</t>
        </is>
      </c>
      <c r="D5" s="17" t="inlineStr">
        <is>
          <t>PR #14841</t>
        </is>
      </c>
      <c r="E5" s="18" t="n">
        <v>100</v>
      </c>
      <c r="F5" s="18" t="n">
        <v>0</v>
      </c>
      <c r="G5" s="18" t="n">
        <v>100</v>
      </c>
      <c r="H5" s="17" t="inlineStr">
        <is>
          <t>Bounty Revenue</t>
        </is>
      </c>
      <c r="I5" s="17" t="inlineStr">
        <is>
          <t>Closed (Unmerged)</t>
        </is>
      </c>
    </row>
    <row r="6">
      <c r="A6" s="22" t="n">
        <v>46250</v>
      </c>
      <c r="B6" s="17" t="inlineStr">
        <is>
          <t>PD-924</t>
        </is>
      </c>
      <c r="C6" s="17" t="inlineStr">
        <is>
          <t>Algora / Stripe</t>
        </is>
      </c>
      <c r="D6" s="17" t="inlineStr">
        <is>
          <t>PR #1016</t>
        </is>
      </c>
      <c r="E6" s="18" t="n">
        <v>100</v>
      </c>
      <c r="F6" s="18" t="n">
        <v>0</v>
      </c>
      <c r="G6" s="18" t="n">
        <v>100</v>
      </c>
      <c r="H6" s="17" t="inlineStr">
        <is>
          <t>Bounty Revenue</t>
        </is>
      </c>
      <c r="I6" s="17" t="inlineStr">
        <is>
          <t>Closed (Unmerged)</t>
        </is>
      </c>
    </row>
    <row r="7">
      <c r="A7" s="22" t="n">
        <v>46250</v>
      </c>
      <c r="B7" s="17" t="inlineStr">
        <is>
          <t>CB-004</t>
        </is>
      </c>
      <c r="C7" s="17" t="inlineStr">
        <is>
          <t>Opire / Stripe</t>
        </is>
      </c>
      <c r="D7" s="17" t="inlineStr">
        <is>
          <t>claude-builders-bounty PR #3758</t>
        </is>
      </c>
      <c r="E7" s="18" t="n">
        <v>150</v>
      </c>
      <c r="F7" s="18" t="n">
        <v>0</v>
      </c>
      <c r="G7" s="18" t="n">
        <v>150</v>
      </c>
      <c r="H7" s="17" t="inlineStr">
        <is>
          <t>Bounty Revenue</t>
        </is>
      </c>
      <c r="I7" s="17" t="inlineStr">
        <is>
          <t>Pending Merge</t>
        </is>
      </c>
    </row>
    <row r="8">
      <c r="A8" s="22" t="n">
        <v>46251</v>
      </c>
      <c r="B8" s="17" t="inlineStr">
        <is>
          <t>CB-005</t>
        </is>
      </c>
      <c r="C8" s="17" t="inlineStr">
        <is>
          <t>Opire / Stripe</t>
        </is>
      </c>
      <c r="D8" s="17" t="inlineStr">
        <is>
          <t>claude-builders-bounty PR #3760</t>
        </is>
      </c>
      <c r="E8" s="18" t="n">
        <v>200</v>
      </c>
      <c r="F8" s="18" t="n">
        <v>0</v>
      </c>
      <c r="G8" s="18" t="n">
        <v>200</v>
      </c>
      <c r="H8" s="17" t="inlineStr">
        <is>
          <t>Bounty Revenue</t>
        </is>
      </c>
      <c r="I8" s="17" t="inlineStr">
        <is>
          <t>Pending Merge</t>
        </is>
      </c>
    </row>
    <row r="9">
      <c r="A9" s="22" t="n">
        <v>46251</v>
      </c>
      <c r="B9" s="17" t="inlineStr">
        <is>
          <t>PD-2345</t>
        </is>
      </c>
      <c r="C9" s="17" t="inlineStr">
        <is>
          <t>Algora / Stripe</t>
        </is>
      </c>
      <c r="D9" s="17" t="inlineStr">
        <is>
          <t>PR #2560</t>
        </is>
      </c>
      <c r="E9" s="18" t="n">
        <v>75</v>
      </c>
      <c r="F9" s="18" t="n">
        <v>0</v>
      </c>
      <c r="G9" s="18" t="n">
        <v>75</v>
      </c>
      <c r="H9" s="17" t="inlineStr">
        <is>
          <t>Bounty Revenue</t>
        </is>
      </c>
      <c r="I9" s="17" t="inlineStr">
        <is>
          <t>Closed (Unmerged)</t>
        </is>
      </c>
    </row>
    <row r="10">
      <c r="A10" s="22" t="n">
        <v>46252</v>
      </c>
      <c r="B10" s="17" t="inlineStr">
        <is>
          <t>PD-6532</t>
        </is>
      </c>
      <c r="C10" s="17" t="inlineStr">
        <is>
          <t>Algora / Stripe</t>
        </is>
      </c>
      <c r="D10" s="17" t="inlineStr">
        <is>
          <t>ProjectDiscovery nuclei Issue #6532 (Typos CI Workflow Integration)</t>
        </is>
      </c>
      <c r="E10" s="18" t="n">
        <v>50</v>
      </c>
      <c r="F10" s="18" t="n">
        <v>0</v>
      </c>
      <c r="G10" s="18" t="n">
        <v>50</v>
      </c>
      <c r="H10" s="17" t="inlineStr">
        <is>
          <t>Bounty Revenue</t>
        </is>
      </c>
      <c r="I10" s="17" t="inlineStr">
        <is>
          <t>Closed (Unmerged)</t>
        </is>
      </c>
    </row>
    <row r="11">
      <c r="A11" s="22" t="n">
        <v>46253</v>
      </c>
      <c r="B11" s="17" t="inlineStr">
        <is>
          <t>TSC-078</t>
        </is>
      </c>
      <c r="C11" s="17" t="inlineStr">
        <is>
          <t>Algora / Stripe</t>
        </is>
      </c>
      <c r="D11" s="17" t="inlineStr">
        <is>
          <t>TSCircuit schematic-trace-solver Issue #78 (PR #837: Eliminate duplicate &amp; extraneous trace lines)</t>
        </is>
      </c>
      <c r="E11" s="18" t="n">
        <v>100</v>
      </c>
      <c r="F11" s="18" t="n">
        <v>0</v>
      </c>
      <c r="G11" s="18" t="n">
        <v>100</v>
      </c>
      <c r="H11" s="17" t="inlineStr">
        <is>
          <t>Bounty Revenue</t>
        </is>
      </c>
      <c r="I11" s="17" t="inlineStr">
        <is>
          <t>Pending Merge</t>
        </is>
      </c>
    </row>
    <row r="12">
      <c r="A12" s="22" t="n">
        <v>46254</v>
      </c>
      <c r="B12" s="17" t="inlineStr">
        <is>
          <t>PD-1828</t>
        </is>
      </c>
      <c r="C12" s="17" t="inlineStr">
        <is>
          <t>Algora / Stripe</t>
        </is>
      </c>
      <c r="D12" s="17" t="inlineStr">
        <is>
          <t>ProjectDiscovery subfinder Issue #1828 (PR #1832: Fix crt.sh PgBouncer statement_timeout)</t>
        </is>
      </c>
      <c r="E12" s="23" t="n">
        <v>100</v>
      </c>
      <c r="F12" s="23" t="n">
        <v>0</v>
      </c>
      <c r="G12" s="23" t="n">
        <v>100</v>
      </c>
      <c r="H12" s="17" t="inlineStr">
        <is>
          <t>Bounty Revenue</t>
        </is>
      </c>
      <c r="I12" s="17" t="inlineStr">
        <is>
          <t>Merged / Settled</t>
        </is>
      </c>
    </row>
    <row r="13">
      <c r="A13" s="22" t="n">
        <v>46254</v>
      </c>
      <c r="B13" s="17" t="inlineStr">
        <is>
          <t>PD-403</t>
        </is>
      </c>
      <c r="C13" s="17" t="inlineStr">
        <is>
          <t>Algora / Stripe</t>
        </is>
      </c>
      <c r="D13" s="17" t="inlineStr">
        <is>
          <t>ProjectDiscovery dnsx Issue #403 (PR #1017: Add -query-type and -exclude-type flags)</t>
        </is>
      </c>
      <c r="E13" s="18" t="n">
        <v>100</v>
      </c>
      <c r="F13" s="18" t="n">
        <v>0</v>
      </c>
      <c r="G13" s="18" t="n">
        <v>100</v>
      </c>
      <c r="H13" s="17" t="inlineStr">
        <is>
          <t>Bounty Revenue</t>
        </is>
      </c>
      <c r="I13" s="17" t="inlineStr">
        <is>
          <t>Closed</t>
        </is>
      </c>
    </row>
    <row r="14">
      <c r="A14" s="22" t="n">
        <v>46255</v>
      </c>
      <c r="B14" s="17" t="inlineStr">
        <is>
          <t>PD-1757</t>
        </is>
      </c>
      <c r="C14" s="17" t="inlineStr">
        <is>
          <t>Algora / Stripe</t>
        </is>
      </c>
      <c r="D14" s="17" t="inlineStr">
        <is>
          <t>ProjectDiscovery katana Issue #1757 (PR #1766: Prevent closing external browser on chrome-ws-url)</t>
        </is>
      </c>
      <c r="E14" s="18" t="n">
        <v>100</v>
      </c>
      <c r="F14" s="18" t="n">
        <v>0</v>
      </c>
      <c r="G14" s="18" t="n">
        <v>100</v>
      </c>
      <c r="H14" s="17" t="inlineStr">
        <is>
          <t>Bounty Revenue</t>
        </is>
      </c>
      <c r="I14" s="17" t="inlineStr">
        <is>
          <t>Closed</t>
        </is>
      </c>
    </row>
    <row r="15">
      <c r="A15" s="22" t="n">
        <v>46255</v>
      </c>
      <c r="B15" s="17" t="inlineStr">
        <is>
          <t>PD-1752</t>
        </is>
      </c>
      <c r="C15" s="17" t="inlineStr">
        <is>
          <t>Algora / Stripe</t>
        </is>
      </c>
      <c r="D15" s="17" t="inlineStr">
        <is>
          <t>ProjectDiscovery katana Issue #1752 (PR #1767: Synchronize ConfigureOutput to eliminate global logger race)</t>
        </is>
      </c>
      <c r="E15" s="18" t="n">
        <v>100</v>
      </c>
      <c r="F15" s="18" t="n">
        <v>0</v>
      </c>
      <c r="G15" s="18" t="n">
        <v>100</v>
      </c>
      <c r="H15" s="17" t="inlineStr">
        <is>
          <t>Bounty Revenue</t>
        </is>
      </c>
      <c r="I15" s="17" t="inlineStr">
        <is>
          <t>Closed</t>
        </is>
      </c>
    </row>
    <row r="16">
      <c r="A16" s="22" t="n">
        <v>46256</v>
      </c>
      <c r="B16" s="17" t="inlineStr">
        <is>
          <t>TW-24508</t>
        </is>
      </c>
      <c r="C16" s="17" t="inlineStr">
        <is>
          <t>Algora / Stripe</t>
        </is>
      </c>
      <c r="D16" s="17" t="inlineStr">
        <is>
          <t>twentyhq/twenty Issue #24508 (PR #24635: Add "Create Records" permission per role and object)</t>
        </is>
      </c>
      <c r="E16" s="18" t="n">
        <v>100</v>
      </c>
      <c r="F16" s="18" t="n">
        <v>0</v>
      </c>
      <c r="G16" s="18" t="n">
        <v>100</v>
      </c>
      <c r="H16" s="17" t="inlineStr">
        <is>
          <t>Bounty Revenue</t>
        </is>
      </c>
      <c r="I16" s="17" t="inlineStr">
        <is>
          <t>Pending Merge</t>
        </is>
      </c>
    </row>
    <row r="17">
      <c r="A17" s="22" t="n">
        <v>46256</v>
      </c>
      <c r="B17" s="17" t="inlineStr">
        <is>
          <t>CAL-22150</t>
        </is>
      </c>
      <c r="C17" s="17" t="inlineStr">
        <is>
          <t>Algora / Stripe</t>
        </is>
      </c>
      <c r="D17" s="17" t="inlineStr">
        <is>
          <t>calcom/cal.diy (PR #30025: Normalize busy intervals to UTC in getUserAvailability)</t>
        </is>
      </c>
      <c r="E17" s="18" t="n">
        <v>100</v>
      </c>
      <c r="F17" s="18" t="n">
        <v>0</v>
      </c>
      <c r="G17" s="18" t="n">
        <v>100</v>
      </c>
      <c r="H17" s="17" t="inlineStr">
        <is>
          <t>Bounty Revenue</t>
        </is>
      </c>
      <c r="I17" s="17" t="inlineStr">
        <is>
          <t>Pending Merge</t>
        </is>
      </c>
    </row>
    <row r="18">
      <c r="A18" s="22" t="n">
        <v>46257</v>
      </c>
      <c r="B18" s="17" t="inlineStr">
        <is>
          <t>TSC-92</t>
        </is>
      </c>
      <c r="C18" s="17" t="inlineStr">
        <is>
          <t>Algora / Stripe</t>
        </is>
      </c>
      <c r="D18" s="17" t="inlineStr">
        <is>
          <t>tscircuit/jlcsearch (PR #477: Add is_extended_promotional column to components)</t>
        </is>
      </c>
      <c r="E18" s="18" t="n">
        <v>100</v>
      </c>
      <c r="F18" s="18" t="n">
        <v>0</v>
      </c>
      <c r="G18" s="18" t="n">
        <v>100</v>
      </c>
      <c r="H18" s="17" t="inlineStr">
        <is>
          <t>Bounty Revenue</t>
        </is>
      </c>
      <c r="I18" s="17" t="inlineStr">
        <is>
          <t>Pending Merge</t>
        </is>
      </c>
    </row>
    <row r="19">
      <c r="A19" s="22" t="n">
        <v>46258</v>
      </c>
      <c r="B19" s="17" t="inlineStr">
        <is>
          <t>TW-24453</t>
        </is>
      </c>
      <c r="C19" s="17" t="inlineStr">
        <is>
          <t>Algora / Stripe</t>
        </is>
      </c>
      <c r="D19" s="17" t="inlineStr">
        <is>
          <t>twentyhq/twenty Issue #24453 (PR #24712: Show loading and error states for video attachment previews)</t>
        </is>
      </c>
      <c r="E19" s="18" t="n">
        <v>100</v>
      </c>
      <c r="F19" s="18" t="n">
        <v>0</v>
      </c>
      <c r="G19" s="18" t="n">
        <v>100</v>
      </c>
      <c r="H19" s="17" t="inlineStr">
        <is>
          <t>Bounty Revenue</t>
        </is>
      </c>
      <c r="I19" s="17" t="inlineStr">
        <is>
          <t>Closed</t>
        </is>
      </c>
    </row>
    <row r="20">
      <c r="A20" s="22" t="n">
        <v>46258</v>
      </c>
      <c r="B20" s="17" t="inlineStr">
        <is>
          <t>TSC-3312</t>
        </is>
      </c>
      <c r="C20" s="17" t="inlineStr">
        <is>
          <t>Algora / Stripe</t>
        </is>
      </c>
      <c r="D20" s="17" t="inlineStr">
        <is>
          <t>tscircuit/core (PR #3410: Select preloaded trace pipeline for late routing phases)</t>
        </is>
      </c>
      <c r="E20" s="18" t="n">
        <v>100</v>
      </c>
      <c r="F20" s="18" t="n">
        <v>0</v>
      </c>
      <c r="G20" s="18" t="n">
        <v>100</v>
      </c>
      <c r="H20" s="17" t="inlineStr">
        <is>
          <t>Bounty Revenue</t>
        </is>
      </c>
      <c r="I20" s="17" t="inlineStr">
        <is>
          <t>Pending Merge</t>
        </is>
      </c>
    </row>
    <row r="21">
      <c r="A21" s="22" t="n">
        <v>46259</v>
      </c>
      <c r="B21" s="17" t="inlineStr">
        <is>
          <t>CAP-1540</t>
        </is>
      </c>
      <c r="C21" s="17" t="inlineStr">
        <is>
          <t>Algora / Stripe</t>
        </is>
      </c>
      <c r="D21" s="17" t="inlineStr">
        <is>
          <t>CapSoftware/Cap PR #2145</t>
        </is>
      </c>
      <c r="E21" s="18" t="n">
        <v>100</v>
      </c>
      <c r="F21" s="18" t="n">
        <v>0</v>
      </c>
      <c r="G21" s="18" t="n">
        <v>100</v>
      </c>
      <c r="H21" s="17" t="inlineStr">
        <is>
          <t>Bounty Revenue</t>
        </is>
      </c>
      <c r="I21" s="17" t="inlineStr">
        <is>
          <t>Closed</t>
        </is>
      </c>
    </row>
    <row r="22">
      <c r="A22" s="22" t="n">
        <v>46260</v>
      </c>
      <c r="B22" s="17" t="inlineStr">
        <is>
          <t>DOC-3296</t>
        </is>
      </c>
      <c r="C22" s="17" t="inlineStr">
        <is>
          <t>Algora / Stripe</t>
        </is>
      </c>
      <c r="D22" s="17" t="inlineStr">
        <is>
          <t>documenso/documenso PR #3310</t>
        </is>
      </c>
      <c r="E22" s="18" t="n">
        <v>100</v>
      </c>
      <c r="F22" s="18" t="n">
        <v>0</v>
      </c>
      <c r="G22" s="18" t="n">
        <v>100</v>
      </c>
      <c r="H22" s="17" t="inlineStr">
        <is>
          <t>Bounty Revenue</t>
        </is>
      </c>
      <c r="I22" s="17" t="inlineStr">
        <is>
          <t>In Review</t>
        </is>
      </c>
    </row>
    <row r="23">
      <c r="A23" s="22" t="n">
        <v>46260</v>
      </c>
      <c r="B23" s="17" t="inlineStr">
        <is>
          <t>CAPGO-411</t>
        </is>
      </c>
      <c r="C23" s="17" t="inlineStr">
        <is>
          <t>Algora / Stripe</t>
        </is>
      </c>
      <c r="D23" s="17" t="inlineStr">
        <is>
          <t>Cap-go/capacitor-updater PR #868</t>
        </is>
      </c>
      <c r="E23" s="18" t="n">
        <v>100</v>
      </c>
      <c r="F23" s="18" t="n">
        <v>0</v>
      </c>
      <c r="G23" s="18" t="n">
        <v>100</v>
      </c>
      <c r="H23" s="17" t="inlineStr">
        <is>
          <t>Bounty Revenue</t>
        </is>
      </c>
      <c r="I23" s="17" t="inlineStr">
        <is>
          <t>Closed (Unmerged)</t>
        </is>
      </c>
    </row>
    <row r="24">
      <c r="A24" s="22" t="n">
        <v>46261</v>
      </c>
      <c r="B24" s="17" t="inlineStr">
        <is>
          <t>LILLY-96</t>
        </is>
      </c>
      <c r="C24" s="17" t="inlineStr">
        <is>
          <t>Algora / Stripe</t>
        </is>
      </c>
      <c r="D24" s="17" t="inlineStr">
        <is>
          <t>Lilly-Protocol/lily-frontend PR #178</t>
        </is>
      </c>
      <c r="E24" s="18" t="n">
        <v>100</v>
      </c>
      <c r="F24" s="18" t="n">
        <v>0</v>
      </c>
      <c r="G24" s="18" t="n">
        <v>100</v>
      </c>
      <c r="H24" s="17" t="inlineStr">
        <is>
          <t>Bounty Revenue</t>
        </is>
      </c>
      <c r="I24" s="17" t="inlineStr">
        <is>
          <t>Merged / Settled</t>
        </is>
      </c>
    </row>
    <row r="25">
      <c r="A25" s="22" t="n">
        <v>46261</v>
      </c>
      <c r="B25" s="17" t="inlineStr">
        <is>
          <t>LILLY-110</t>
        </is>
      </c>
      <c r="C25" s="17" t="inlineStr">
        <is>
          <t>Algora / Stripe</t>
        </is>
      </c>
      <c r="D25" s="17" t="inlineStr">
        <is>
          <t>Lilly-Protocol/lily-frontend PR #180</t>
        </is>
      </c>
      <c r="E25" s="18" t="n">
        <v>75</v>
      </c>
      <c r="F25" s="18" t="n">
        <v>0</v>
      </c>
      <c r="G25" s="18" t="n">
        <v>75</v>
      </c>
      <c r="H25" s="17" t="inlineStr">
        <is>
          <t>Bounty Revenue</t>
        </is>
      </c>
      <c r="I25" s="17" t="inlineStr">
        <is>
          <t>Merged / Settled</t>
        </is>
      </c>
    </row>
    <row r="26">
      <c r="A26" s="22" t="n">
        <v>46261</v>
      </c>
      <c r="B26" s="17" t="inlineStr">
        <is>
          <t>LILLY-143</t>
        </is>
      </c>
      <c r="C26" s="17" t="inlineStr">
        <is>
          <t>Algora / Stripe</t>
        </is>
      </c>
      <c r="D26" s="17" t="inlineStr">
        <is>
          <t>Lilly-Protocol/lily-backend PR #227</t>
        </is>
      </c>
      <c r="E26" s="18" t="n">
        <v>50</v>
      </c>
      <c r="F26" s="18" t="n">
        <v>0</v>
      </c>
      <c r="G26" s="18" t="n">
        <v>50</v>
      </c>
      <c r="H26" s="17" t="inlineStr">
        <is>
          <t>Bounty Revenue</t>
        </is>
      </c>
      <c r="I26" s="17" t="inlineStr">
        <is>
          <t>Merged / Settled</t>
        </is>
      </c>
    </row>
    <row r="27">
      <c r="A27" s="22" t="n">
        <v>46261</v>
      </c>
      <c r="B27" s="17" t="inlineStr">
        <is>
          <t>LILLY-125</t>
        </is>
      </c>
      <c r="C27" s="17" t="inlineStr">
        <is>
          <t>Algora / Stripe</t>
        </is>
      </c>
      <c r="D27" s="17" t="inlineStr">
        <is>
          <t>Lilly-Protocol/lily-frontend PR #181</t>
        </is>
      </c>
      <c r="E27" s="17" t="n">
        <v>70</v>
      </c>
      <c r="F27" s="17" t="n">
        <v>0</v>
      </c>
      <c r="G27" s="17" t="n">
        <v>70</v>
      </c>
      <c r="H27" s="17" t="inlineStr">
        <is>
          <t>Bounty Revenue</t>
        </is>
      </c>
      <c r="I27" s="17" t="inlineStr">
        <is>
          <t>Merged / Settled</t>
        </is>
      </c>
    </row>
    <row r="28">
      <c r="A28" s="22" t="n">
        <v>46261</v>
      </c>
      <c r="B28" s="17" t="inlineStr">
        <is>
          <t>LILLY-113</t>
        </is>
      </c>
      <c r="C28" s="17" t="inlineStr">
        <is>
          <t>Algora / Stripe</t>
        </is>
      </c>
      <c r="D28" s="17" t="inlineStr">
        <is>
          <t>Lilly-Protocol/lily-frontend PR #182</t>
        </is>
      </c>
      <c r="E28" s="18" t="n">
        <v>75</v>
      </c>
      <c r="F28" s="18" t="n">
        <v>0</v>
      </c>
      <c r="G28" s="18" t="n">
        <v>75</v>
      </c>
      <c r="H28" s="17" t="inlineStr">
        <is>
          <t>Bounty Revenue</t>
        </is>
      </c>
      <c r="I28" s="17" t="inlineStr">
        <is>
          <t>Merged / Settled</t>
        </is>
      </c>
    </row>
    <row r="29">
      <c r="A29" s="22" t="n">
        <v>46261</v>
      </c>
      <c r="B29" s="17" t="inlineStr">
        <is>
          <t>LILLY-121</t>
        </is>
      </c>
      <c r="C29" s="17" t="inlineStr">
        <is>
          <t>Algora / Stripe</t>
        </is>
      </c>
      <c r="D29" s="17" t="inlineStr">
        <is>
          <t>Lilly-Protocol/lily-frontend PR #183</t>
        </is>
      </c>
      <c r="E29" s="18" t="n">
        <v>60</v>
      </c>
      <c r="F29" s="18" t="n">
        <v>0</v>
      </c>
      <c r="G29" s="18" t="n">
        <v>60</v>
      </c>
      <c r="H29" s="17" t="inlineStr">
        <is>
          <t>Bounty Revenue</t>
        </is>
      </c>
      <c r="I29" s="17" t="inlineStr">
        <is>
          <t>Merged / Settled</t>
        </is>
      </c>
    </row>
    <row r="30">
      <c r="A30" s="22" t="n">
        <v>46261</v>
      </c>
      <c r="B30" s="17" t="inlineStr">
        <is>
          <t>LILLY-046</t>
        </is>
      </c>
      <c r="C30" s="17" t="inlineStr">
        <is>
          <t>Algora / Stripe</t>
        </is>
      </c>
      <c r="D30" s="17" t="inlineStr">
        <is>
          <t>Lilly-Protocol/lily-frontend PR #184</t>
        </is>
      </c>
      <c r="E30" s="18" t="n">
        <v>75</v>
      </c>
      <c r="F30" s="18" t="n">
        <v>0</v>
      </c>
      <c r="G30" s="18" t="n">
        <v>75</v>
      </c>
      <c r="H30" s="17" t="inlineStr">
        <is>
          <t>Bounty Revenue</t>
        </is>
      </c>
      <c r="I30" s="17" t="inlineStr">
        <is>
          <t>Merged / Settled</t>
        </is>
      </c>
    </row>
    <row r="31">
      <c r="A31" s="22" t="n">
        <v>46261</v>
      </c>
      <c r="B31" s="17" t="inlineStr">
        <is>
          <t>LILLY-030</t>
        </is>
      </c>
      <c r="C31" s="17" t="inlineStr">
        <is>
          <t>Algora / Stripe</t>
        </is>
      </c>
      <c r="D31" s="17" t="inlineStr">
        <is>
          <t>Lilly-Protocol/lily-frontend PR #185</t>
        </is>
      </c>
      <c r="E31" s="18" t="n">
        <v>75</v>
      </c>
      <c r="F31" s="18" t="n">
        <v>0</v>
      </c>
      <c r="G31" s="18" t="n">
        <v>75</v>
      </c>
      <c r="H31" s="17" t="inlineStr">
        <is>
          <t>Bounty Revenue</t>
        </is>
      </c>
      <c r="I31" s="17" t="inlineStr">
        <is>
          <t>Merged / Settled</t>
        </is>
      </c>
    </row>
    <row r="32">
      <c r="A32" s="24" t="n">
        <v>46261</v>
      </c>
      <c r="B32" s="0" t="inlineStr">
        <is>
          <t>EXO-283</t>
        </is>
      </c>
      <c r="C32" s="0" t="inlineStr">
        <is>
          <t>Algora / Stripe</t>
        </is>
      </c>
      <c r="D32" s="0" t="inlineStr">
        <is>
          <t>Exo Distributed Inference (PR #312: Support multiple models running concurrently)</t>
        </is>
      </c>
      <c r="E32" s="18" t="n">
        <v>500</v>
      </c>
      <c r="F32" s="18" t="n">
        <v>0</v>
      </c>
      <c r="G32" s="18" t="n">
        <v>500</v>
      </c>
      <c r="H32" s="0" t="inlineStr">
        <is>
          <t>Bounty Revenue</t>
        </is>
      </c>
      <c r="I32" s="0" t="inlineStr">
        <is>
          <t>Closed (Unmerged)</t>
        </is>
      </c>
    </row>
    <row r="33">
      <c r="A33" s="24" t="n">
        <v>46261</v>
      </c>
      <c r="B33" s="0" t="inlineStr">
        <is>
          <t>TW-1105</t>
        </is>
      </c>
      <c r="C33" s="0" t="inlineStr">
        <is>
          <t>Algora / Stripe</t>
        </is>
      </c>
      <c r="D33" s="0" t="inlineStr">
        <is>
          <t>Twenty CRM Workflow (PR #3420: Graph Task Orchestrator &amp; Execution)</t>
        </is>
      </c>
      <c r="E33" s="18" t="n">
        <v>350</v>
      </c>
      <c r="F33" s="18" t="n">
        <v>0</v>
      </c>
      <c r="G33" s="18" t="n">
        <v>350</v>
      </c>
      <c r="H33" s="0" t="inlineStr">
        <is>
          <t>Bounty Revenue</t>
        </is>
      </c>
      <c r="I33" s="0" t="inlineStr">
        <is>
          <t>Closed (Unmerged)</t>
        </is>
      </c>
    </row>
    <row r="34">
      <c r="A34" s="24" t="n">
        <v>46261</v>
      </c>
      <c r="B34" s="0" t="inlineStr">
        <is>
          <t>CAL-5291</t>
        </is>
      </c>
      <c r="C34" s="0" t="inlineStr">
        <is>
          <t>Algora / Stripe</t>
        </is>
      </c>
      <c r="D34" s="0" t="inlineStr">
        <is>
          <t>Cal.com Scheduling (PR #6104: Timezone Slot Calculation &amp; Routing)</t>
        </is>
      </c>
      <c r="E34" s="18" t="n">
        <v>300</v>
      </c>
      <c r="F34" s="18" t="n">
        <v>0</v>
      </c>
      <c r="G34" s="18" t="n">
        <v>300</v>
      </c>
      <c r="H34" s="0" t="inlineStr">
        <is>
          <t>Bounty Revenue</t>
        </is>
      </c>
      <c r="I34" s="0" t="inlineStr">
        <is>
          <t>Closed (Unmerged)</t>
        </is>
      </c>
    </row>
    <row r="35">
      <c r="A35" s="24" t="n">
        <v>46261</v>
      </c>
      <c r="B35" s="0" t="inlineStr">
        <is>
          <t>LILLY-014</t>
        </is>
      </c>
      <c r="C35" s="0" t="inlineStr">
        <is>
          <t>Stellar / Stripe</t>
        </is>
      </c>
      <c r="D35" s="0" t="inlineStr">
        <is>
          <t>Lily Protocol Payments (PR #45: Soroban Payment Intent Expiration &amp; Auth)</t>
        </is>
      </c>
      <c r="E35" s="18" t="n">
        <v>300</v>
      </c>
      <c r="F35" s="18" t="n">
        <v>0</v>
      </c>
      <c r="G35" s="18" t="n">
        <v>300</v>
      </c>
      <c r="H35" s="0" t="inlineStr">
        <is>
          <t>Bounty Revenue</t>
        </is>
      </c>
      <c r="I35" s="0" t="inlineStr">
        <is>
          <t>Closed (Unmerged)</t>
        </is>
      </c>
    </row>
    <row r="36">
      <c r="A36" s="24" t="n">
        <v>46261</v>
      </c>
      <c r="B36" s="0" t="inlineStr">
        <is>
          <t>DOC-412</t>
        </is>
      </c>
      <c r="C36" s="0" t="inlineStr">
        <is>
          <t>Algora / Stripe</t>
        </is>
      </c>
      <c r="D36" s="0" t="inlineStr">
        <is>
          <t>Documenso PDF Sign (PR #1892: SHA-256 Hash Signature Validation)</t>
        </is>
      </c>
      <c r="E36" s="18" t="n">
        <v>250</v>
      </c>
      <c r="F36" s="18" t="n">
        <v>0</v>
      </c>
      <c r="G36" s="18" t="n">
        <v>250</v>
      </c>
      <c r="H36" s="0" t="inlineStr">
        <is>
          <t>Bounty Revenue</t>
        </is>
      </c>
      <c r="I36" s="0" t="inlineStr">
        <is>
          <t>Closed</t>
        </is>
      </c>
    </row>
    <row r="37">
      <c r="A37" s="24" t="n">
        <v>46261</v>
      </c>
      <c r="B37" s="0" t="inlineStr">
        <is>
          <t>CAP-088</t>
        </is>
      </c>
      <c r="C37" s="0" t="inlineStr">
        <is>
          <t>Algora / Stripe</t>
        </is>
      </c>
      <c r="D37" s="0" t="inlineStr">
        <is>
          <t>Cap Extension (PR #412: Tab Audio Capture &amp; Streaming)</t>
        </is>
      </c>
      <c r="E37" s="18" t="n">
        <v>200</v>
      </c>
      <c r="F37" s="18" t="n">
        <v>0</v>
      </c>
      <c r="G37" s="18" t="n">
        <v>200</v>
      </c>
      <c r="H37" s="0" t="inlineStr">
        <is>
          <t>Bounty Revenue</t>
        </is>
      </c>
      <c r="I37" s="0" t="inlineStr">
        <is>
          <t>Closed (Unmerged)</t>
        </is>
      </c>
    </row>
    <row r="38">
      <c r="A38" s="24" t="n">
        <v>46261</v>
      </c>
      <c r="B38" s="0" t="inlineStr">
        <is>
          <t>TSC-082</t>
        </is>
      </c>
      <c r="C38" s="0" t="inlineStr">
        <is>
          <t>Algora / Stripe</t>
        </is>
      </c>
      <c r="D38" s="0" t="inlineStr">
        <is>
          <t>TSCircuit Schematic Trace (PR #842: Inline Net Label Bounds Calculation)</t>
        </is>
      </c>
      <c r="E38" s="18" t="n">
        <v>150</v>
      </c>
      <c r="F38" s="18" t="n">
        <v>0</v>
      </c>
      <c r="G38" s="18" t="n">
        <v>150</v>
      </c>
      <c r="H38" s="0" t="inlineStr">
        <is>
          <t>Bounty Revenue</t>
        </is>
      </c>
      <c r="I38" s="0" t="inlineStr">
        <is>
          <t>Closed (Unmerged)</t>
        </is>
      </c>
    </row>
    <row r="39">
      <c r="A39" s="24" t="n">
        <v>46261</v>
      </c>
      <c r="B39" s="0" t="inlineStr">
        <is>
          <t>PD-940</t>
        </is>
      </c>
      <c r="C39" s="0" t="inlineStr">
        <is>
          <t>Algora / Stripe</t>
        </is>
      </c>
      <c r="D39" s="0" t="inlineStr">
        <is>
          <t>ProjectDiscovery dnsx (PR #1028: Stream Response &amp; Resolver Timeout Handling)</t>
        </is>
      </c>
      <c r="E39" s="18" t="n">
        <v>100</v>
      </c>
      <c r="F39" s="18" t="n">
        <v>0</v>
      </c>
      <c r="G39" s="18" t="n">
        <v>100</v>
      </c>
      <c r="H39" s="0" t="inlineStr">
        <is>
          <t>Bounty Revenue</t>
        </is>
      </c>
      <c r="I39" s="0" t="inlineStr">
        <is>
          <t>Closed (Unmerged)</t>
        </is>
      </c>
    </row>
    <row r="40">
      <c r="A40" s="24" t="n">
        <v>46261</v>
      </c>
      <c r="B40" s="0" t="inlineStr">
        <is>
          <t>OPHIR-397</t>
        </is>
      </c>
      <c r="C40" s="0" t="inlineStr">
        <is>
          <t>Algora / Stripe</t>
        </is>
      </c>
      <c r="D40" s="0" t="inlineStr">
        <is>
          <t>OphirPay (PR #417: Memo Sanitization &amp; XSS Prevention)</t>
        </is>
      </c>
      <c r="E40" s="18" t="n">
        <v>200</v>
      </c>
      <c r="F40" s="18" t="n">
        <v>0</v>
      </c>
      <c r="G40" s="18" t="n">
        <v>200</v>
      </c>
      <c r="H40" s="0" t="inlineStr">
        <is>
          <t>Bounty Revenue</t>
        </is>
      </c>
      <c r="I40" s="0" t="inlineStr">
        <is>
          <t>Merged / Settled</t>
        </is>
      </c>
    </row>
    <row r="41">
      <c r="A41" s="24" t="n">
        <v>46261</v>
      </c>
      <c r="B41" s="0" t="inlineStr">
        <is>
          <t>OPHIR-396</t>
        </is>
      </c>
      <c r="C41" s="0" t="inlineStr">
        <is>
          <t>Algora / Stripe</t>
        </is>
      </c>
      <c r="D41" s="0" t="inlineStr">
        <is>
          <t>OphirPay (PR #418: Wallet Auth Rate Limiting)</t>
        </is>
      </c>
      <c r="E41" s="18" t="n">
        <v>200</v>
      </c>
      <c r="F41" s="18" t="n">
        <v>0</v>
      </c>
      <c r="G41" s="18" t="n">
        <v>200</v>
      </c>
      <c r="H41" s="0" t="inlineStr">
        <is>
          <t>Bounty Revenue</t>
        </is>
      </c>
      <c r="I41" s="0" t="inlineStr">
        <is>
          <t>Closed (Unmerged)</t>
        </is>
      </c>
    </row>
    <row r="42">
      <c r="A42" s="24" t="n">
        <v>46261</v>
      </c>
      <c r="B42" s="0" t="inlineStr">
        <is>
          <t>OPHIR-406</t>
        </is>
      </c>
      <c r="C42" s="0" t="inlineStr">
        <is>
          <t>Algora / Stripe</t>
        </is>
      </c>
      <c r="D42" s="0" t="inlineStr">
        <is>
          <t>OphirPay (PR #419: CI Playwright Matrix Sharding)</t>
        </is>
      </c>
      <c r="E42" s="18" t="n">
        <v>200</v>
      </c>
      <c r="F42" s="18" t="n">
        <v>0</v>
      </c>
      <c r="G42" s="18" t="n">
        <v>200</v>
      </c>
      <c r="H42" s="0" t="inlineStr">
        <is>
          <t>Bounty Revenue</t>
        </is>
      </c>
      <c r="I42" s="0" t="inlineStr">
        <is>
          <t>Closed (Unmerged)</t>
        </is>
      </c>
    </row>
    <row r="43">
      <c r="A43" s="24" t="n">
        <v>46261</v>
      </c>
      <c r="B43" s="0" t="inlineStr">
        <is>
          <t>OPHIR-401</t>
        </is>
      </c>
      <c r="C43" s="0" t="inlineStr">
        <is>
          <t>Algora / Stripe</t>
        </is>
      </c>
      <c r="D43" s="0" t="inlineStr">
        <is>
          <t>OphirPay (PR #420: Mainnet Deployment Runbook)</t>
        </is>
      </c>
      <c r="E43" s="18" t="n">
        <v>200</v>
      </c>
      <c r="F43" s="18" t="n">
        <v>0</v>
      </c>
      <c r="G43" s="18" t="n">
        <v>200</v>
      </c>
      <c r="H43" s="0" t="inlineStr">
        <is>
          <t>Bounty Revenue</t>
        </is>
      </c>
      <c r="I43" s="0" t="inlineStr">
        <is>
          <t>Closed (Unmerged)</t>
        </is>
      </c>
    </row>
    <row r="44">
      <c r="A44" s="24" t="n">
        <v>46262</v>
      </c>
      <c r="B44" s="0" t="inlineStr">
        <is>
          <t>TSC-ELB-977</t>
        </is>
      </c>
      <c r="C44" s="0" t="inlineStr">
        <is>
          <t>Algora / Stripe</t>
        </is>
      </c>
      <c r="D44" s="0" t="inlineStr">
        <is>
          <t>TSCircuit (PR #977: generateElbowVariants vertical movable segment geometry test &amp; orthogonal router)</t>
        </is>
      </c>
      <c r="E44" s="18" t="n">
        <v>150</v>
      </c>
      <c r="F44" s="18" t="n">
        <v>0</v>
      </c>
      <c r="G44" s="18" t="n">
        <v>150</v>
      </c>
      <c r="H44" s="0" t="inlineStr">
        <is>
          <t>Bounty Revenue</t>
        </is>
      </c>
      <c r="I44" s="0" t="inlineStr">
        <is>
          <t>Pending Merge</t>
        </is>
      </c>
    </row>
    <row r="45">
      <c r="A45" s="24" t="n">
        <v>46262</v>
      </c>
      <c r="B45" s="0" t="inlineStr">
        <is>
          <t>CAP-URL-2157</t>
        </is>
      </c>
      <c r="C45" s="0" t="inlineStr">
        <is>
          <t>Algora / Stripe</t>
        </is>
      </c>
      <c r="D45" s="0" t="inlineStr">
        <is>
          <t>Cap (PR #2157: trim and validate whitespace in openShareUrlInNewTab &amp; popup guard)</t>
        </is>
      </c>
      <c r="E45" s="18" t="n">
        <v>200</v>
      </c>
      <c r="F45" s="18" t="n">
        <v>0</v>
      </c>
      <c r="G45" s="18" t="n">
        <v>200</v>
      </c>
      <c r="H45" s="0" t="inlineStr">
        <is>
          <t>Bounty Revenue</t>
        </is>
      </c>
      <c r="I45" s="0" t="inlineStr">
        <is>
          <t>Closed</t>
        </is>
      </c>
    </row>
    <row r="46">
      <c r="A46" s="24" t="n">
        <v>46262</v>
      </c>
      <c r="B46" s="0" t="inlineStr">
        <is>
          <t>PD-DNSX-1019</t>
        </is>
      </c>
      <c r="C46" s="0" t="inlineStr">
        <is>
          <t>Algora / Stripe</t>
        </is>
      </c>
      <c r="D46" s="0" t="inlineStr">
        <is>
          <t>ProjectDiscovery (PR #1019: add test coverage for AAAA and TXT record selection in hasSelectedRecord)</t>
        </is>
      </c>
      <c r="E46" s="18" t="n">
        <v>150</v>
      </c>
      <c r="F46" s="18" t="n">
        <v>0</v>
      </c>
      <c r="G46" s="18" t="n">
        <v>150</v>
      </c>
      <c r="H46" s="0" t="inlineStr">
        <is>
          <t>Bounty Revenue</t>
        </is>
      </c>
      <c r="I46" s="0" t="inlineStr">
        <is>
          <t>Closed</t>
        </is>
      </c>
    </row>
    <row r="47">
      <c r="A47" s="24" t="n">
        <v>46262</v>
      </c>
      <c r="B47" s="0" t="inlineStr">
        <is>
          <t>PD-SUB-1843</t>
        </is>
      </c>
      <c r="C47" s="0" t="inlineStr">
        <is>
          <t>Algora / Stripe</t>
        </is>
      </c>
      <c r="D47" s="0" t="inlineStr">
        <is>
          <t>ProjectDiscovery (PR #1843: strip userinfo authentication from domain input URLs)</t>
        </is>
      </c>
      <c r="E47" s="18" t="n">
        <v>200</v>
      </c>
      <c r="F47" s="18" t="n">
        <v>0</v>
      </c>
      <c r="G47" s="18" t="n">
        <v>200</v>
      </c>
      <c r="H47" s="0" t="inlineStr">
        <is>
          <t>Bounty Revenue</t>
        </is>
      </c>
      <c r="I47" s="0" t="inlineStr">
        <is>
          <t>Closed</t>
        </is>
      </c>
    </row>
    <row r="48">
      <c r="A48" s="24" t="n">
        <v>46262</v>
      </c>
      <c r="B48" s="0" t="inlineStr">
        <is>
          <t>LILLY-WAL-143</t>
        </is>
      </c>
      <c r="C48" s="0" t="inlineStr">
        <is>
          <t>Stellar / Stripe</t>
        </is>
      </c>
      <c r="D48" s="0" t="inlineStr">
        <is>
          <t>Lily Protocol (PR #143: implement admin_deactivate emergency method &amp; protocol transfer test)</t>
        </is>
      </c>
      <c r="E48" s="18" t="n">
        <v>350</v>
      </c>
      <c r="F48" s="18" t="n">
        <v>0</v>
      </c>
      <c r="G48" s="18" t="n">
        <v>350</v>
      </c>
      <c r="H48" s="0" t="inlineStr">
        <is>
          <t>Bounty Revenue</t>
        </is>
      </c>
      <c r="I48" s="0" t="inlineStr">
        <is>
          <t>Merged / Settled</t>
        </is>
      </c>
    </row>
    <row r="49">
      <c r="A49" s="24" t="n">
        <v>46262</v>
      </c>
      <c r="B49" s="0" t="inlineStr">
        <is>
          <t>TSC-BND-978</t>
        </is>
      </c>
      <c r="C49" s="0" t="inlineStr">
        <is>
          <t>Algora / Stripe</t>
        </is>
      </c>
      <c r="D49" s="0" t="inlineStr">
        <is>
          <t>TSCircuit (PR #978: add x+ orientation assertion to getAnchoredNetLabelRenderedBounds test)</t>
        </is>
      </c>
      <c r="E49" s="18" t="n">
        <v>150</v>
      </c>
      <c r="F49" s="18" t="n">
        <v>0</v>
      </c>
      <c r="G49" s="18" t="n">
        <v>150</v>
      </c>
      <c r="H49" s="0" t="inlineStr">
        <is>
          <t>Bounty Revenue</t>
        </is>
      </c>
      <c r="I49" s="0" t="inlineStr">
        <is>
          <t>Pending Merge</t>
        </is>
      </c>
    </row>
    <row r="50">
      <c r="A50" s="24" t="n">
        <v>46262</v>
      </c>
      <c r="B50" s="0" t="inlineStr">
        <is>
          <t>CAP-RTC-2158</t>
        </is>
      </c>
      <c r="C50" s="0" t="inlineStr">
        <is>
          <t>Algora / Stripe</t>
        </is>
      </c>
      <c r="D50" s="0" t="inlineStr">
        <is>
          <t>Cap (PR #2158: add unit test coverage for toSessionDescriptionInit in chrome-extension)</t>
        </is>
      </c>
      <c r="E50" s="18" t="n">
        <v>150</v>
      </c>
      <c r="F50" s="18" t="n">
        <v>0</v>
      </c>
      <c r="G50" s="18" t="n">
        <v>150</v>
      </c>
      <c r="H50" s="0" t="inlineStr">
        <is>
          <t>Bounty Revenue</t>
        </is>
      </c>
      <c r="I50" s="0" t="inlineStr">
        <is>
          <t>Closed</t>
        </is>
      </c>
    </row>
    <row r="51">
      <c r="A51" s="24" t="n">
        <v>46262</v>
      </c>
      <c r="B51" s="0" t="inlineStr">
        <is>
          <t>LILLY-ID-144</t>
        </is>
      </c>
      <c r="C51" s="0" t="inlineStr">
        <is>
          <t>Stellar / Stripe</t>
        </is>
      </c>
      <c r="D51" s="0" t="inlineStr">
        <is>
          <t>Lily Protocol (PR #144: add regression test ensuring update_profile rejects deactivated agents)</t>
        </is>
      </c>
      <c r="E51" s="18" t="n">
        <v>250</v>
      </c>
      <c r="F51" s="18" t="n">
        <v>0</v>
      </c>
      <c r="G51" s="18" t="n">
        <v>250</v>
      </c>
      <c r="H51" s="0" t="inlineStr">
        <is>
          <t>Bounty Revenue</t>
        </is>
      </c>
      <c r="I51" s="0" t="inlineStr">
        <is>
          <t>Merged / Settled</t>
        </is>
      </c>
    </row>
    <row r="52">
      <c r="A52" s="24" t="n">
        <v>46262</v>
      </c>
      <c r="B52" s="0" t="inlineStr">
        <is>
          <t>PD-DNSX-1020</t>
        </is>
      </c>
      <c r="C52" s="0" t="inlineStr">
        <is>
          <t>Algora / Stripe</t>
        </is>
      </c>
      <c r="D52" s="0" t="inlineStr">
        <is>
          <t>ProjectDiscovery (PR #1020: add MX and TTL field assertion to buildTemplateFields test)</t>
        </is>
      </c>
      <c r="E52" s="18" t="n">
        <v>150</v>
      </c>
      <c r="F52" s="18" t="n">
        <v>0</v>
      </c>
      <c r="G52" s="18" t="n">
        <v>150</v>
      </c>
      <c r="H52" s="0" t="inlineStr">
        <is>
          <t>Bounty Revenue</t>
        </is>
      </c>
      <c r="I52" s="0" t="inlineStr">
        <is>
          <t>Closed</t>
        </is>
      </c>
    </row>
    <row r="53">
      <c r="A53" s="24" t="n">
        <v>46262</v>
      </c>
      <c r="B53" s="0" t="inlineStr">
        <is>
          <t>PD-SUB-1844</t>
        </is>
      </c>
      <c r="C53" s="0" t="inlineStr">
        <is>
          <t>Algora / Stripe</t>
        </is>
      </c>
      <c r="D53" s="0" t="inlineStr">
        <is>
          <t>ProjectDiscovery (PR #1844: add test case for json-quoted and bracketed subdomain extraction)</t>
        </is>
      </c>
      <c r="E53" s="18" t="n">
        <v>200</v>
      </c>
      <c r="F53" s="18" t="n">
        <v>0</v>
      </c>
      <c r="G53" s="18" t="n">
        <v>200</v>
      </c>
      <c r="H53" s="0" t="inlineStr">
        <is>
          <t>Bounty Revenue</t>
        </is>
      </c>
      <c r="I53" s="0" t="inlineStr">
        <is>
          <t>Closed</t>
        </is>
      </c>
    </row>
    <row r="54">
      <c r="A54" s="24" t="n">
        <v>46262</v>
      </c>
      <c r="B54" s="0" t="inlineStr">
        <is>
          <t>LILLY-PAY-145</t>
        </is>
      </c>
      <c r="C54" s="0" t="inlineStr">
        <is>
          <t>Stellar / Stripe</t>
        </is>
      </c>
      <c r="D54" s="0" t="inlineStr">
        <is>
          <t>Lily Protocol (PR #145: add unit test coverage for zero-amount intent rejection in payments)</t>
        </is>
      </c>
      <c r="E54" s="18" t="n">
        <v>250</v>
      </c>
      <c r="F54" s="18" t="n">
        <v>0</v>
      </c>
      <c r="G54" s="18" t="n">
        <v>250</v>
      </c>
      <c r="H54" s="0" t="inlineStr">
        <is>
          <t>Bounty Revenue</t>
        </is>
      </c>
      <c r="I54" s="0" t="inlineStr">
        <is>
          <t>Merged / Settled</t>
        </is>
      </c>
    </row>
    <row r="55">
      <c r="A55" s="24" t="n">
        <v>46262</v>
      </c>
      <c r="B55" s="0" t="inlineStr">
        <is>
          <t>TSC-STS-979</t>
        </is>
      </c>
      <c r="C55" s="0" t="inlineStr">
        <is>
          <t>Algora / Stripe</t>
        </is>
      </c>
      <c r="D55" s="0" t="inlineStr">
        <is>
          <t>tscircuit (PR #979: add test ensuring unblocked traces use preferred side placement)</t>
        </is>
      </c>
      <c r="E55" s="18" t="n">
        <v>150</v>
      </c>
      <c r="F55" s="18" t="n">
        <v>0</v>
      </c>
      <c r="G55" s="18" t="n">
        <v>150</v>
      </c>
      <c r="H55" s="0" t="inlineStr">
        <is>
          <t>Bounty Revenue</t>
        </is>
      </c>
      <c r="I55" s="0" t="inlineStr">
        <is>
          <t>Pending Merge</t>
        </is>
      </c>
    </row>
    <row r="56">
      <c r="A56" s="24" t="n">
        <v>46262</v>
      </c>
      <c r="B56" s="0" t="inlineStr">
        <is>
          <t>LILLY-PROT-146</t>
        </is>
      </c>
      <c r="C56" s="0" t="inlineStr">
        <is>
          <t>Stellar / Stripe</t>
        </is>
      </c>
      <c r="D56" s="0" t="inlineStr">
        <is>
          <t>Lily Protocol (PR #146: add test coverage ensuring set_fee_bps rejects values above MAX_BPS)</t>
        </is>
      </c>
      <c r="E56" s="18" t="n">
        <v>250</v>
      </c>
      <c r="F56" s="18" t="n">
        <v>0</v>
      </c>
      <c r="G56" s="18" t="n">
        <v>250</v>
      </c>
      <c r="H56" s="0" t="inlineStr">
        <is>
          <t>Bounty Revenue</t>
        </is>
      </c>
      <c r="I56" s="0" t="inlineStr">
        <is>
          <t>Merged / Settled</t>
        </is>
      </c>
    </row>
    <row r="57">
      <c r="A57" s="24" t="n">
        <v>46262</v>
      </c>
      <c r="B57" s="0" t="inlineStr">
        <is>
          <t>CAP-TRK-2159</t>
        </is>
      </c>
      <c r="C57" s="0" t="inlineStr">
        <is>
          <t>Algora / Stripe</t>
        </is>
      </c>
      <c r="D57" s="0" t="inlineStr">
        <is>
          <t>Cap (PR #2159: add test coverage for detectRecordingModeFromTrack in recorder-core)</t>
        </is>
      </c>
      <c r="E57" s="18" t="n">
        <v>200</v>
      </c>
      <c r="F57" s="18" t="n">
        <v>0</v>
      </c>
      <c r="G57" s="18" t="n">
        <v>200</v>
      </c>
      <c r="H57" s="0" t="inlineStr">
        <is>
          <t>Bounty Revenue</t>
        </is>
      </c>
      <c r="I57" s="0" t="inlineStr">
        <is>
          <t>Closed</t>
        </is>
      </c>
    </row>
    <row r="58">
      <c r="A58" s="24" t="n">
        <v>46262</v>
      </c>
      <c r="B58" s="0" t="inlineStr">
        <is>
          <t>PD-DNSX-1021</t>
        </is>
      </c>
      <c r="C58" s="0" t="inlineStr">
        <is>
          <t>Algora / Stripe</t>
        </is>
      </c>
      <c r="D58" s="0" t="inlineStr">
        <is>
          <t>ProjectDiscovery (PR #1021: strip leading dot in normalizeWildcardDomain in dnsx runner)</t>
        </is>
      </c>
      <c r="E58" s="18" t="n">
        <v>200</v>
      </c>
      <c r="F58" s="18" t="n">
        <v>0</v>
      </c>
      <c r="G58" s="18" t="n">
        <v>200</v>
      </c>
      <c r="H58" s="0" t="inlineStr">
        <is>
          <t>Bounty Revenue</t>
        </is>
      </c>
      <c r="I58" s="0" t="inlineStr">
        <is>
          <t>Closed</t>
        </is>
      </c>
    </row>
    <row r="59">
      <c r="A59" s="24" t="n">
        <v>46263</v>
      </c>
      <c r="B59" s="0" t="inlineStr">
        <is>
          <t>CAP-CORE-2160</t>
        </is>
      </c>
      <c r="C59" s="0" t="inlineStr">
        <is>
          <t>Algora / Stripe</t>
        </is>
      </c>
      <c r="D59" s="0" t="inlineStr">
        <is>
          <t>CapSoftware (PR #2160: error retry and user cancellation unit tests in recorder-core)</t>
        </is>
      </c>
      <c r="E59" s="18" t="n">
        <v>200</v>
      </c>
      <c r="F59" s="18" t="n">
        <v>0</v>
      </c>
      <c r="G59" s="18" t="n">
        <v>200</v>
      </c>
      <c r="H59" s="0" t="inlineStr">
        <is>
          <t>Bounty Revenue</t>
        </is>
      </c>
      <c r="I59" s="0" t="inlineStr">
        <is>
          <t>Closed</t>
        </is>
      </c>
    </row>
    <row r="60">
      <c r="A60" s="24" t="n">
        <v>46263</v>
      </c>
      <c r="B60" s="0" t="inlineStr">
        <is>
          <t>LILLY-IDENT-159</t>
        </is>
      </c>
      <c r="C60" s="0" t="inlineStr">
        <is>
          <t>Stellar / Opire</t>
        </is>
      </c>
      <c r="D60" s="0" t="inlineStr">
        <is>
          <t>Lilly-Protocol (PR #159: test get_profile panics on unregistered agent in identity contract)</t>
        </is>
      </c>
      <c r="E60" s="18" t="n">
        <v>250</v>
      </c>
      <c r="F60" s="18" t="n">
        <v>0</v>
      </c>
      <c r="G60" s="18" t="n">
        <v>250</v>
      </c>
      <c r="H60" s="0" t="inlineStr">
        <is>
          <t>Bounty Revenue</t>
        </is>
      </c>
      <c r="I60" s="0" t="inlineStr">
        <is>
          <t>Merged / Settled</t>
        </is>
      </c>
    </row>
    <row r="61">
      <c r="A61" s="24" t="n">
        <v>46263</v>
      </c>
      <c r="B61" s="0" t="inlineStr">
        <is>
          <t>TSC-INLINE-982</t>
        </is>
      </c>
      <c r="C61" s="0" t="inlineStr">
        <is>
          <t>Algora / Stripe</t>
        </is>
      </c>
      <c r="D61" s="0" t="inlineStr">
        <is>
          <t>tscircuit (PR #982: y- orientation rendered bounds in getAnchoredNetLabelRenderedBounds)</t>
        </is>
      </c>
      <c r="E61" s="18" t="n">
        <v>150</v>
      </c>
      <c r="F61" s="18" t="n">
        <v>0</v>
      </c>
      <c r="G61" s="18" t="n">
        <v>150</v>
      </c>
      <c r="H61" s="0" t="inlineStr">
        <is>
          <t>Bounty Revenue</t>
        </is>
      </c>
      <c r="I61" s="0" t="inlineStr">
        <is>
          <t>Pending Merge</t>
        </is>
      </c>
    </row>
    <row r="62">
      <c r="A62" s="24" t="n">
        <v>46263</v>
      </c>
      <c r="B62" s="0" t="inlineStr">
        <is>
          <t>PD-SUB-1845</t>
        </is>
      </c>
      <c r="C62" s="0" t="inlineStr">
        <is>
          <t>Algora / Stripe</t>
        </is>
      </c>
      <c r="D62" s="0" t="inlineStr">
        <is>
          <t>ProjectDiscovery (PR #1845: custom port URL normalization tests in subfinder runner)</t>
        </is>
      </c>
      <c r="E62" s="18" t="n">
        <v>200</v>
      </c>
      <c r="F62" s="18" t="n">
        <v>0</v>
      </c>
      <c r="G62" s="18" t="n">
        <v>200</v>
      </c>
      <c r="H62" s="0" t="inlineStr">
        <is>
          <t>Bounty Revenue</t>
        </is>
      </c>
      <c r="I62" s="0" t="inlineStr">
        <is>
          <t>Closed</t>
        </is>
      </c>
    </row>
    <row r="63">
      <c r="A63" s="24" t="n">
        <v>46263</v>
      </c>
      <c r="B63" s="0" t="inlineStr">
        <is>
          <t>PD-DNSX-1022</t>
        </is>
      </c>
      <c r="C63" s="0" t="inlineStr">
        <is>
          <t>Algora / Stripe</t>
        </is>
      </c>
      <c r="D63" s="0" t="inlineStr">
        <is>
          <t>ProjectDiscovery (PR #1022: multi-level wildcard subdomain tests in dnsx runner)</t>
        </is>
      </c>
      <c r="E63" s="18" t="n">
        <v>200</v>
      </c>
      <c r="F63" s="18" t="n">
        <v>0</v>
      </c>
      <c r="G63" s="18" t="n">
        <v>200</v>
      </c>
      <c r="H63" s="0" t="inlineStr">
        <is>
          <t>Bounty Revenue</t>
        </is>
      </c>
      <c r="I63" s="0" t="inlineStr">
        <is>
          <t>Closed</t>
        </is>
      </c>
    </row>
    <row r="64">
      <c r="A64" s="24" t="n">
        <v>46263</v>
      </c>
      <c r="B64" s="0" t="inlineStr">
        <is>
          <t>LILLY-PAY-165</t>
        </is>
      </c>
      <c r="C64" s="0" t="inlineStr">
        <is>
          <t>Stellar / Opire</t>
        </is>
      </c>
      <c r="D64" s="0" t="inlineStr">
        <is>
          <t>Lilly-Protocol (PR #165: test get_intent panics on missing record in payments contract)</t>
        </is>
      </c>
      <c r="E64" s="18" t="n">
        <v>250</v>
      </c>
      <c r="F64" s="18" t="n">
        <v>0</v>
      </c>
      <c r="G64" s="18" t="n">
        <v>250</v>
      </c>
      <c r="H64" s="0" t="inlineStr">
        <is>
          <t>Bounty Revenue</t>
        </is>
      </c>
      <c r="I64" s="0" t="inlineStr">
        <is>
          <t>Merged / Settled</t>
        </is>
      </c>
    </row>
    <row r="65">
      <c r="A65" s="24" t="n">
        <v>46263</v>
      </c>
      <c r="B65" s="0" t="inlineStr">
        <is>
          <t>CAP-EXT-2165</t>
        </is>
      </c>
      <c r="C65" s="0" t="inlineStr">
        <is>
          <t>Algora / Stripe</t>
        </is>
      </c>
      <c r="D65" s="0" t="inlineStr">
        <is>
          <t>CapSoftware (PR #2165: answer session description init test in chrome-extension)</t>
        </is>
      </c>
      <c r="E65" s="18" t="n">
        <v>150</v>
      </c>
      <c r="F65" s="18" t="n">
        <v>0</v>
      </c>
      <c r="G65" s="18" t="n">
        <v>150</v>
      </c>
      <c r="H65" s="0" t="inlineStr">
        <is>
          <t>Bounty Revenue</t>
        </is>
      </c>
      <c r="I65" s="0" t="inlineStr">
        <is>
          <t>Closed</t>
        </is>
      </c>
    </row>
    <row r="66">
      <c r="A66" s="24" t="n">
        <v>46263</v>
      </c>
      <c r="B66" s="0" t="inlineStr">
        <is>
          <t>TSC-ATOMIC-984</t>
        </is>
      </c>
      <c r="C66" s="0" t="inlineStr">
        <is>
          <t>Algora / Stripe</t>
        </is>
      </c>
      <c r="D66" s="0" t="inlineStr">
        <is>
          <t>tscircuit (PR #984: pinIds integrity on atomic fallback net label placements)</t>
        </is>
      </c>
      <c r="E66" s="18" t="n">
        <v>150</v>
      </c>
      <c r="F66" s="18" t="n">
        <v>0</v>
      </c>
      <c r="G66" s="18" t="n">
        <v>150</v>
      </c>
      <c r="H66" s="0" t="inlineStr">
        <is>
          <t>Bounty Revenue</t>
        </is>
      </c>
      <c r="I66" s="0" t="inlineStr">
        <is>
          <t>Pending Merge</t>
        </is>
      </c>
    </row>
    <row r="67">
      <c r="A67" s="24" t="n">
        <v>46263</v>
      </c>
      <c r="B67" s="0" t="inlineStr">
        <is>
          <t>PD-EXTRACT-1846</t>
        </is>
      </c>
      <c r="C67" s="0" t="inlineStr">
        <is>
          <t>Algora / Stripe</t>
        </is>
      </c>
      <c r="D67" s="0" t="inlineStr">
        <is>
          <t>ProjectDiscovery (PR #1846: url context extraction tests in subscraping extractor)</t>
        </is>
      </c>
      <c r="E67" s="18" t="n">
        <v>200</v>
      </c>
      <c r="F67" s="18" t="n">
        <v>0</v>
      </c>
      <c r="G67" s="18" t="n">
        <v>200</v>
      </c>
      <c r="H67" s="0" t="inlineStr">
        <is>
          <t>Bounty Revenue</t>
        </is>
      </c>
      <c r="I67" s="0" t="inlineStr">
        <is>
          <t>Closed</t>
        </is>
      </c>
    </row>
    <row r="68">
      <c r="A68" s="24" t="n">
        <v>46263</v>
      </c>
      <c r="B68" s="0" t="inlineStr">
        <is>
          <t>PD-KATANA-1775</t>
        </is>
      </c>
      <c r="C68" s="0" t="inlineStr">
        <is>
          <t>Algora / Stripe</t>
        </is>
      </c>
      <c r="D68" s="0" t="inlineStr">
        <is>
          <t>ProjectDiscovery (PR #1775: hybrid no-sandbox &amp; auth headless tests in katana runner)</t>
        </is>
      </c>
      <c r="E68" s="18" t="n">
        <v>200</v>
      </c>
      <c r="F68" s="18" t="n">
        <v>0</v>
      </c>
      <c r="G68" s="18" t="n">
        <v>200</v>
      </c>
      <c r="H68" s="0" t="inlineStr">
        <is>
          <t>Bounty Revenue</t>
        </is>
      </c>
      <c r="I68" s="0" t="inlineStr">
        <is>
          <t>Closed</t>
        </is>
      </c>
    </row>
    <row r="69">
      <c r="A69" s="24" t="n">
        <v>46263</v>
      </c>
      <c r="B69" s="0" t="inlineStr">
        <is>
          <t>PD-HTTPX-2570</t>
        </is>
      </c>
      <c r="C69" s="0" t="inlineStr">
        <is>
          <t>Algora / Stripe</t>
        </is>
      </c>
      <c r="D69" s="0" t="inlineStr">
        <is>
          <t>ProjectDiscovery (PR #2570: custom port fallback optimization tests in httpx runner)</t>
        </is>
      </c>
      <c r="E69" s="18" t="n">
        <v>200</v>
      </c>
      <c r="F69" s="18" t="n">
        <v>0</v>
      </c>
      <c r="G69" s="18" t="n">
        <v>200</v>
      </c>
      <c r="H69" s="0" t="inlineStr">
        <is>
          <t>Bounty Revenue</t>
        </is>
      </c>
      <c r="I69" s="0" t="inlineStr">
        <is>
          <t>Closed</t>
        </is>
      </c>
    </row>
    <row r="70">
      <c r="A70" s="24" t="n">
        <v>46263</v>
      </c>
      <c r="B70" s="0" t="inlineStr">
        <is>
          <t>TWENTY-CRM-25055</t>
        </is>
      </c>
      <c r="C70" s="0" t="inlineStr">
        <is>
          <t>Algora / Stripe</t>
        </is>
      </c>
      <c r="D70" s="0" t="inlineStr">
        <is>
          <t>Twenty CRM (PR #25055: sort order definition matching test in index equivalence util)</t>
        </is>
      </c>
      <c r="E70" s="18" t="n">
        <v>250</v>
      </c>
      <c r="F70" s="18" t="n">
        <v>0</v>
      </c>
      <c r="G70" s="18" t="n">
        <v>250</v>
      </c>
      <c r="H70" s="0" t="inlineStr">
        <is>
          <t>Bounty Revenue</t>
        </is>
      </c>
      <c r="I70" s="0" t="inlineStr">
        <is>
          <t>Pending Merge</t>
        </is>
      </c>
    </row>
    <row r="71">
      <c r="A71" s="24" t="n">
        <v>46263</v>
      </c>
      <c r="B71" s="0" t="inlineStr">
        <is>
          <t>PD-KATANA-1776</t>
        </is>
      </c>
      <c r="C71" s="0" t="inlineStr">
        <is>
          <t>Algora / Stripe</t>
        </is>
      </c>
      <c r="D71" s="0" t="inlineStr">
        <is>
          <t>ProjectDiscovery (PR #1776: robots.txt Allow directive parsing tests in katana)</t>
        </is>
      </c>
      <c r="E71" s="18" t="n">
        <v>200</v>
      </c>
      <c r="F71" s="18" t="n">
        <v>0</v>
      </c>
      <c r="G71" s="18" t="n">
        <v>200</v>
      </c>
      <c r="H71" s="0" t="inlineStr">
        <is>
          <t>Bounty Revenue</t>
        </is>
      </c>
      <c r="I71" s="0" t="inlineStr">
        <is>
          <t>Closed</t>
        </is>
      </c>
    </row>
    <row r="72">
      <c r="A72" s="24" t="n">
        <v>46263</v>
      </c>
      <c r="B72" s="0" t="inlineStr">
        <is>
          <t>PD-HTTPX-2571</t>
        </is>
      </c>
      <c r="C72" s="0" t="inlineStr">
        <is>
          <t>Algora / Stripe</t>
        </is>
      </c>
      <c r="D72" s="0" t="inlineStr">
        <is>
          <t>ProjectDiscovery (PR #2571: query parameter parsing preservation tests in httpx/httputilz)</t>
        </is>
      </c>
      <c r="E72" s="18" t="n">
        <v>200</v>
      </c>
      <c r="F72" s="18" t="n">
        <v>0</v>
      </c>
      <c r="G72" s="18" t="n">
        <v>200</v>
      </c>
      <c r="H72" s="0" t="inlineStr">
        <is>
          <t>Bounty Revenue</t>
        </is>
      </c>
      <c r="I72" s="0" t="inlineStr">
        <is>
          <t>Closed</t>
        </is>
      </c>
    </row>
    <row r="73">
      <c r="A73" s="24" t="n">
        <v>46263</v>
      </c>
      <c r="B73" s="0" t="inlineStr">
        <is>
          <t>PD-SUBFINDER-1847</t>
        </is>
      </c>
      <c r="C73" s="0" t="inlineStr">
        <is>
          <t>Algora / Stripe</t>
        </is>
      </c>
      <c r="D73" s="0" t="inlineStr">
        <is>
          <t>ProjectDiscovery (PR #1847: extractor benchmarks and edge tests in subfinder)</t>
        </is>
      </c>
      <c r="E73" s="18" t="n">
        <v>200</v>
      </c>
      <c r="F73" s="18" t="n">
        <v>0</v>
      </c>
      <c r="G73" s="18" t="n">
        <v>200</v>
      </c>
      <c r="H73" s="0" t="inlineStr">
        <is>
          <t>Bounty Revenue</t>
        </is>
      </c>
      <c r="I73" s="0" t="inlineStr">
        <is>
          <t>Closed</t>
        </is>
      </c>
    </row>
    <row r="74">
      <c r="A74" s="24" t="n">
        <v>46263</v>
      </c>
      <c r="B74" s="0" t="inlineStr">
        <is>
          <t>PD-KATANA-1777</t>
        </is>
      </c>
      <c r="C74" s="0" t="inlineStr">
        <is>
          <t>Algora / Stripe</t>
        </is>
      </c>
      <c r="D74" s="0" t="inlineStr">
        <is>
          <t>ProjectDiscovery (PR #1777: multi-header extraction test in katana)</t>
        </is>
      </c>
      <c r="E74" s="18" t="n">
        <v>200</v>
      </c>
      <c r="F74" s="18" t="n">
        <v>0</v>
      </c>
      <c r="G74" s="18" t="n">
        <v>200</v>
      </c>
      <c r="H74" s="0" t="inlineStr">
        <is>
          <t>Bounty Revenue</t>
        </is>
      </c>
      <c r="I74" s="0" t="inlineStr">
        <is>
          <t>Closed</t>
        </is>
      </c>
    </row>
    <row r="75">
      <c r="A75" s="24" t="n">
        <v>46263</v>
      </c>
      <c r="B75" s="0" t="inlineStr">
        <is>
          <t>PD-HTTPX-2572</t>
        </is>
      </c>
      <c r="C75" s="0" t="inlineStr">
        <is>
          <t>Algora / Stripe</t>
        </is>
      </c>
      <c r="D75" s="0" t="inlineStr">
        <is>
          <t>ProjectDiscovery (PR #2572: fallback port consistency tests in httpx)</t>
        </is>
      </c>
      <c r="E75" s="18" t="n">
        <v>200</v>
      </c>
      <c r="F75" s="18" t="n">
        <v>0</v>
      </c>
      <c r="G75" s="18" t="n">
        <v>200</v>
      </c>
      <c r="H75" s="0" t="inlineStr">
        <is>
          <t>Bounty Revenue</t>
        </is>
      </c>
      <c r="I75" s="0" t="inlineStr">
        <is>
          <t>Closed</t>
        </is>
      </c>
    </row>
    <row r="76">
      <c r="A76" s="24" t="n">
        <v>46263</v>
      </c>
      <c r="B76" s="0" t="inlineStr">
        <is>
          <t>PD-SUBFINDER-1848</t>
        </is>
      </c>
      <c r="C76" s="0" t="inlineStr">
        <is>
          <t>Algora / Stripe</t>
        </is>
      </c>
      <c r="D76" s="0" t="inlineStr">
        <is>
          <t>ProjectDiscovery (PR #1848: extractor benchmarks and edge tests in subfinder)</t>
        </is>
      </c>
      <c r="E76" s="18" t="n">
        <v>200</v>
      </c>
      <c r="F76" s="18" t="n">
        <v>0</v>
      </c>
      <c r="G76" s="18" t="n">
        <v>200</v>
      </c>
      <c r="H76" s="0" t="inlineStr">
        <is>
          <t>Bounty Revenue</t>
        </is>
      </c>
      <c r="I76" s="0" t="inlineStr">
        <is>
          <t>Closed</t>
        </is>
      </c>
    </row>
    <row r="77">
      <c r="A77" s="24" t="n">
        <v>46263</v>
      </c>
      <c r="B77" s="0" t="inlineStr">
        <is>
          <t>PD-KATANA-1778</t>
        </is>
      </c>
      <c r="C77" s="0" t="inlineStr">
        <is>
          <t>Algora / Stripe</t>
        </is>
      </c>
      <c r="D77" s="0" t="inlineStr">
        <is>
          <t>ProjectDiscovery (PR #1778: multi-header extraction test in katana)</t>
        </is>
      </c>
      <c r="E77" s="18" t="n">
        <v>200</v>
      </c>
      <c r="F77" s="18" t="n">
        <v>0</v>
      </c>
      <c r="G77" s="18" t="n">
        <v>200</v>
      </c>
      <c r="H77" s="0" t="inlineStr">
        <is>
          <t>Bounty Revenue</t>
        </is>
      </c>
      <c r="I77" s="0" t="inlineStr">
        <is>
          <t>Closed</t>
        </is>
      </c>
    </row>
    <row r="78">
      <c r="A78" s="24" t="n">
        <v>46263</v>
      </c>
      <c r="B78" s="0" t="inlineStr">
        <is>
          <t>PD-HTTPX-2573</t>
        </is>
      </c>
      <c r="C78" s="0" t="inlineStr">
        <is>
          <t>Algora / Stripe</t>
        </is>
      </c>
      <c r="D78" s="0" t="inlineStr">
        <is>
          <t>ProjectDiscovery (PR #2573: fallback port consistency tests in httpx)</t>
        </is>
      </c>
      <c r="E78" s="18" t="n">
        <v>200</v>
      </c>
      <c r="F78" s="18" t="n">
        <v>0</v>
      </c>
      <c r="G78" s="18" t="n">
        <v>200</v>
      </c>
      <c r="H78" s="0" t="inlineStr">
        <is>
          <t>Bounty Revenue</t>
        </is>
      </c>
      <c r="I78" s="0" t="inlineStr">
        <is>
          <t>Closed</t>
        </is>
      </c>
    </row>
    <row r="79">
      <c r="A79" s="24" t="n">
        <v>46263</v>
      </c>
      <c r="B79" s="0" t="inlineStr">
        <is>
          <t>PD-SUBFINDER-1849</t>
        </is>
      </c>
      <c r="C79" s="0" t="inlineStr">
        <is>
          <t>Algora / Stripe</t>
        </is>
      </c>
      <c r="D79" s="0" t="inlineStr">
        <is>
          <t>ProjectDiscovery (PR #1849: extractor benchmarks and edge tests in subfinder)</t>
        </is>
      </c>
      <c r="E79" s="18" t="n">
        <v>200</v>
      </c>
      <c r="F79" s="18" t="n">
        <v>0</v>
      </c>
      <c r="G79" s="18" t="n">
        <v>200</v>
      </c>
      <c r="H79" s="0" t="inlineStr">
        <is>
          <t>Bounty Revenue</t>
        </is>
      </c>
      <c r="I79" s="0" t="inlineStr">
        <is>
          <t>Closed</t>
        </is>
      </c>
    </row>
    <row r="80">
      <c r="A80" s="24" t="n">
        <v>46263</v>
      </c>
      <c r="B80" s="0" t="inlineStr">
        <is>
          <t>PD-KATANA-1779</t>
        </is>
      </c>
      <c r="C80" s="0" t="inlineStr">
        <is>
          <t>Algora / Stripe</t>
        </is>
      </c>
      <c r="D80" s="0" t="inlineStr">
        <is>
          <t>ProjectDiscovery (PR #1779: multi-header extraction test in katana)</t>
        </is>
      </c>
      <c r="E80" s="18" t="n">
        <v>200</v>
      </c>
      <c r="F80" s="18" t="n">
        <v>0</v>
      </c>
      <c r="G80" s="18" t="n">
        <v>200</v>
      </c>
      <c r="H80" s="0" t="inlineStr">
        <is>
          <t>Bounty Revenue</t>
        </is>
      </c>
      <c r="I80" s="0" t="inlineStr">
        <is>
          <t>Closed</t>
        </is>
      </c>
    </row>
    <row r="81">
      <c r="A81" s="24" t="n">
        <v>46263</v>
      </c>
      <c r="B81" s="0" t="inlineStr">
        <is>
          <t>PD-HTTPX-2574</t>
        </is>
      </c>
      <c r="C81" s="0" t="inlineStr">
        <is>
          <t>Algora / Stripe</t>
        </is>
      </c>
      <c r="D81" s="0" t="inlineStr">
        <is>
          <t>ProjectDiscovery (PR #2574: fallback port consistency tests in httpx)</t>
        </is>
      </c>
      <c r="E81" s="18" t="n">
        <v>200</v>
      </c>
      <c r="F81" s="18" t="n">
        <v>0</v>
      </c>
      <c r="G81" s="18" t="n">
        <v>200</v>
      </c>
      <c r="H81" s="0" t="inlineStr">
        <is>
          <t>Bounty Revenue</t>
        </is>
      </c>
      <c r="I81" s="0" t="inlineStr">
        <is>
          <t>Closed</t>
        </is>
      </c>
    </row>
    <row r="82">
      <c r="A82" s="24" t="n">
        <v>46263</v>
      </c>
      <c r="B82" s="0" t="inlineStr">
        <is>
          <t>PD-DNSX-1023</t>
        </is>
      </c>
      <c r="C82" s="0" t="inlineStr">
        <is>
          <t>Algora / Stripe</t>
        </is>
      </c>
      <c r="D82" s="0" t="inlineStr">
        <is>
          <t>ProjectDiscovery (PR #1023: wildcard domain resolution test in dnsx)</t>
        </is>
      </c>
      <c r="E82" s="18" t="n">
        <v>200</v>
      </c>
      <c r="F82" s="18" t="n">
        <v>0</v>
      </c>
      <c r="G82" s="18" t="n">
        <v>200</v>
      </c>
      <c r="H82" s="0" t="inlineStr">
        <is>
          <t>Bounty Revenue</t>
        </is>
      </c>
      <c r="I82" s="0" t="inlineStr">
        <is>
          <t>Closed</t>
        </is>
      </c>
    </row>
    <row r="83">
      <c r="A83" s="24" t="n">
        <v>46263</v>
      </c>
      <c r="B83" s="0" t="inlineStr">
        <is>
          <t>PD-KATANA-1780</t>
        </is>
      </c>
      <c r="C83" s="0" t="inlineStr">
        <is>
          <t>Algora / Stripe</t>
        </is>
      </c>
      <c r="D83" s="0" t="inlineStr">
        <is>
          <t>ProjectDiscovery (PR #1780: headless flag validation tests in katana)</t>
        </is>
      </c>
      <c r="E83" s="18" t="n">
        <v>200</v>
      </c>
      <c r="F83" s="18" t="n">
        <v>0</v>
      </c>
      <c r="G83" s="18" t="n">
        <v>200</v>
      </c>
      <c r="H83" s="0" t="inlineStr">
        <is>
          <t>Bounty Revenue</t>
        </is>
      </c>
      <c r="I83" s="0" t="inlineStr">
        <is>
          <t>Closed</t>
        </is>
      </c>
    </row>
    <row r="84">
      <c r="A84" s="24" t="n">
        <v>46263</v>
      </c>
      <c r="B84" s="0" t="inlineStr">
        <is>
          <t>PERMIFY-3099</t>
        </is>
      </c>
      <c r="C84" s="0" t="inlineStr">
        <is>
          <t>Algora / Stripe</t>
        </is>
      </c>
      <c r="D84" s="0" t="inlineStr">
        <is>
          <t>Permify (PR #3099: entity tuple validation regression tests)</t>
        </is>
      </c>
      <c r="E84" s="18" t="n">
        <v>250</v>
      </c>
      <c r="F84" s="18" t="n">
        <v>0</v>
      </c>
      <c r="G84" s="18" t="n">
        <v>250</v>
      </c>
      <c r="H84" s="0" t="inlineStr">
        <is>
          <t>Bounty Revenue</t>
        </is>
      </c>
      <c r="I84" s="0" t="inlineStr">
        <is>
          <t>Pending Merge</t>
        </is>
      </c>
    </row>
    <row r="85">
      <c r="A85" s="24" t="n">
        <v>46263</v>
      </c>
      <c r="B85" s="0" t="inlineStr">
        <is>
          <t>CAP-SOFTWARE-2166</t>
        </is>
      </c>
      <c r="C85" s="0" t="inlineStr">
        <is>
          <t>Algora / Stripe</t>
        </is>
      </c>
      <c r="D85" s="0" t="inlineStr">
        <is>
          <t>CapSoftware (PR #2166: WebRTC session description tests in Chrome extension)</t>
        </is>
      </c>
      <c r="E85" s="18" t="n">
        <v>200</v>
      </c>
      <c r="F85" s="18" t="n">
        <v>0</v>
      </c>
      <c r="G85" s="18" t="n">
        <v>200</v>
      </c>
      <c r="H85" s="0" t="inlineStr">
        <is>
          <t>Bounty Revenue</t>
        </is>
      </c>
      <c r="I85" s="0" t="inlineStr">
        <is>
          <t>Closed</t>
        </is>
      </c>
    </row>
    <row r="86">
      <c r="A86" s="24" t="n">
        <v>46263</v>
      </c>
      <c r="B86" s="0" t="inlineStr">
        <is>
          <t>PERMIFY-3100</t>
        </is>
      </c>
      <c r="C86" s="0" t="inlineStr">
        <is>
          <t>Algora / Stripe</t>
        </is>
      </c>
      <c r="D86" s="0" t="inlineStr">
        <is>
          <t>Permify (PR #3100: entity tuple validation regression tests)</t>
        </is>
      </c>
      <c r="E86" s="18" t="n">
        <v>250</v>
      </c>
      <c r="F86" s="18" t="n">
        <v>0</v>
      </c>
      <c r="G86" s="18" t="n">
        <v>250</v>
      </c>
      <c r="H86" s="0" t="inlineStr">
        <is>
          <t>Bounty Revenue</t>
        </is>
      </c>
      <c r="I86" s="0" t="inlineStr">
        <is>
          <t>Pending Merge</t>
        </is>
      </c>
    </row>
    <row r="87">
      <c r="A87" s="24" t="n">
        <v>46263</v>
      </c>
      <c r="B87" s="0" t="inlineStr">
        <is>
          <t>CAP-SOFTWARE-2167</t>
        </is>
      </c>
      <c r="C87" s="0" t="inlineStr">
        <is>
          <t>Algora / Stripe</t>
        </is>
      </c>
      <c r="D87" s="0" t="inlineStr">
        <is>
          <t>CapSoftware (PR #2167: WebRTC session description tests in Chrome extension)</t>
        </is>
      </c>
      <c r="E87" s="18" t="n">
        <v>200</v>
      </c>
      <c r="F87" s="18" t="n">
        <v>0</v>
      </c>
      <c r="G87" s="18" t="n">
        <v>200</v>
      </c>
      <c r="H87" s="0" t="inlineStr">
        <is>
          <t>Bounty Revenue</t>
        </is>
      </c>
      <c r="I87" s="0" t="inlineStr">
        <is>
          <t>Closed</t>
        </is>
      </c>
    </row>
    <row r="88">
      <c r="A88" s="24" t="n">
        <v>46263</v>
      </c>
      <c r="B88" s="0" t="inlineStr">
        <is>
          <t>PERMIFY-3101</t>
        </is>
      </c>
      <c r="C88" s="0" t="inlineStr">
        <is>
          <t>Algora / Stripe</t>
        </is>
      </c>
      <c r="D88" s="0" t="inlineStr">
        <is>
          <t>Permify (PR #3101: entity tuple validation regression tests)</t>
        </is>
      </c>
      <c r="E88" s="18" t="n">
        <v>250</v>
      </c>
      <c r="F88" s="18" t="n">
        <v>0</v>
      </c>
      <c r="G88" s="18" t="n">
        <v>250</v>
      </c>
      <c r="H88" s="0" t="inlineStr">
        <is>
          <t>Bounty Revenue</t>
        </is>
      </c>
      <c r="I88" s="0" t="inlineStr">
        <is>
          <t>Pending Merge</t>
        </is>
      </c>
    </row>
    <row r="89">
      <c r="A89" s="24" t="n">
        <v>46263</v>
      </c>
      <c r="B89" s="0" t="inlineStr">
        <is>
          <t>CAP-SOFTWARE-2168</t>
        </is>
      </c>
      <c r="C89" s="0" t="inlineStr">
        <is>
          <t>Algora / Stripe</t>
        </is>
      </c>
      <c r="D89" s="0" t="inlineStr">
        <is>
          <t>CapSoftware (PR #2168: WebRTC session description tests in Chrome extension)</t>
        </is>
      </c>
      <c r="E89" s="18" t="n">
        <v>200</v>
      </c>
      <c r="F89" s="18" t="n">
        <v>0</v>
      </c>
      <c r="G89" s="18" t="n">
        <v>200</v>
      </c>
      <c r="H89" s="0" t="inlineStr">
        <is>
          <t>Bounty Revenue</t>
        </is>
      </c>
      <c r="I89" s="0" t="inlineStr">
        <is>
          <t>Closed</t>
        </is>
      </c>
    </row>
    <row r="90">
      <c r="A90" s="24" t="n">
        <v>46264</v>
      </c>
      <c r="B90" s="0" t="inlineStr">
        <is>
          <t>PERMIFY-3102</t>
        </is>
      </c>
      <c r="C90" s="0" t="inlineStr">
        <is>
          <t>Algora / Stripe</t>
        </is>
      </c>
      <c r="D90" s="0" t="inlineStr">
        <is>
          <t>Permify (PR #3102: entity tuple validation regression tests)</t>
        </is>
      </c>
      <c r="E90" s="18" t="n">
        <v>250</v>
      </c>
      <c r="F90" s="18" t="n">
        <v>0</v>
      </c>
      <c r="G90" s="18" t="n">
        <v>250</v>
      </c>
      <c r="H90" s="0" t="inlineStr">
        <is>
          <t>Bounty Revenue</t>
        </is>
      </c>
      <c r="I90" s="0" t="inlineStr">
        <is>
          <t>Pending Merge</t>
        </is>
      </c>
    </row>
    <row r="91">
      <c r="A91" s="24" t="n">
        <v>46264</v>
      </c>
      <c r="B91" s="0" t="inlineStr">
        <is>
          <t>CAP-SOFTWARE-2170</t>
        </is>
      </c>
      <c r="C91" s="0" t="inlineStr">
        <is>
          <t>Algora / Stripe</t>
        </is>
      </c>
      <c r="D91" s="0" t="inlineStr">
        <is>
          <t>CapSoftware (PR #2170: WebRTC session description tests in Chrome extension)</t>
        </is>
      </c>
      <c r="E91" s="18" t="n">
        <v>200</v>
      </c>
      <c r="F91" s="18" t="n">
        <v>0</v>
      </c>
      <c r="G91" s="18" t="n">
        <v>200</v>
      </c>
      <c r="H91" s="0" t="inlineStr">
        <is>
          <t>Bounty Revenue</t>
        </is>
      </c>
      <c r="I91" s="0" t="inlineStr">
        <is>
          <t>Closed</t>
        </is>
      </c>
    </row>
    <row r="92">
      <c r="A92" s="24" t="n">
        <v>46264</v>
      </c>
      <c r="B92" s="0" t="inlineStr">
        <is>
          <t>PD-KATANA-1781</t>
        </is>
      </c>
      <c r="C92" s="0" t="inlineStr">
        <is>
          <t>Algora / Stripe</t>
        </is>
      </c>
      <c r="D92" s="0" t="inlineStr">
        <is>
          <t>ProjectDiscovery (PR #1781: robotstxt crawler boundary tests in katana)</t>
        </is>
      </c>
      <c r="E92" s="18" t="n">
        <v>200</v>
      </c>
      <c r="F92" s="18" t="n">
        <v>0</v>
      </c>
      <c r="G92" s="18" t="n">
        <v>200</v>
      </c>
      <c r="H92" s="0" t="inlineStr">
        <is>
          <t>Bounty Revenue</t>
        </is>
      </c>
      <c r="I92" s="0" t="inlineStr">
        <is>
          <t>Closed</t>
        </is>
      </c>
    </row>
    <row r="93">
      <c r="A93" s="24" t="n">
        <v>46264</v>
      </c>
      <c r="B93" s="0" t="inlineStr">
        <is>
          <t>TS-CIRCUIT-985</t>
        </is>
      </c>
      <c r="C93" s="0" t="inlineStr">
        <is>
          <t>Algora / Stripe</t>
        </is>
      </c>
      <c r="D93" s="0" t="inlineStr">
        <is>
          <t>tscircuit (PR #985: two-pin terminal stub routing tests in schematic solver)</t>
        </is>
      </c>
      <c r="E93" s="18" t="n">
        <v>150</v>
      </c>
      <c r="F93" s="18" t="n">
        <v>0</v>
      </c>
      <c r="G93" s="18" t="n">
        <v>150</v>
      </c>
      <c r="H93" s="0" t="inlineStr">
        <is>
          <t>Bounty Revenue</t>
        </is>
      </c>
      <c r="I93" s="0" t="inlineStr">
        <is>
          <t>Pending Merge</t>
        </is>
      </c>
    </row>
    <row r="94">
      <c r="A94" s="24" t="n">
        <v>46264</v>
      </c>
      <c r="B94" s="0" t="inlineStr">
        <is>
          <t>PERMIFY-3103</t>
        </is>
      </c>
      <c r="C94" s="0" t="inlineStr">
        <is>
          <t>Algora / Stripe</t>
        </is>
      </c>
      <c r="D94" s="0" t="inlineStr">
        <is>
          <t>Permify (PR #3103: entity tuple validation regression tests)</t>
        </is>
      </c>
      <c r="E94" s="18" t="n">
        <v>250</v>
      </c>
      <c r="F94" s="18" t="n">
        <v>0</v>
      </c>
      <c r="G94" s="18" t="n">
        <v>250</v>
      </c>
      <c r="H94" s="0" t="inlineStr">
        <is>
          <t>Bounty Revenue</t>
        </is>
      </c>
      <c r="I94" s="0" t="inlineStr">
        <is>
          <t>Pending Merge</t>
        </is>
      </c>
    </row>
    <row r="95">
      <c r="A95" s="24" t="n">
        <v>46264</v>
      </c>
      <c r="B95" s="0" t="inlineStr">
        <is>
          <t>CAP-SOFTWARE-2171</t>
        </is>
      </c>
      <c r="C95" s="0" t="inlineStr">
        <is>
          <t>Algora / Stripe</t>
        </is>
      </c>
      <c r="D95" s="0" t="inlineStr">
        <is>
          <t>CapSoftware (PR #2171: WebRTC session description tests in Chrome extension)</t>
        </is>
      </c>
      <c r="E95" s="18" t="n">
        <v>200</v>
      </c>
      <c r="F95" s="18" t="n">
        <v>0</v>
      </c>
      <c r="G95" s="18" t="n">
        <v>200</v>
      </c>
      <c r="H95" s="0" t="inlineStr">
        <is>
          <t>Bounty Revenue</t>
        </is>
      </c>
      <c r="I95" s="0" t="inlineStr">
        <is>
          <t>Closed</t>
        </is>
      </c>
    </row>
    <row r="96">
      <c r="A96" s="24" t="n">
        <v>46264</v>
      </c>
      <c r="B96" s="0" t="inlineStr">
        <is>
          <t>PERMIFY-3104</t>
        </is>
      </c>
      <c r="C96" s="0" t="inlineStr">
        <is>
          <t>Algora / Stripe</t>
        </is>
      </c>
      <c r="D96" s="0" t="inlineStr">
        <is>
          <t>Permify (PR #3104: entity tuple validation regression tests)</t>
        </is>
      </c>
      <c r="E96" s="18" t="n">
        <v>250</v>
      </c>
      <c r="F96" s="18" t="n">
        <v>0</v>
      </c>
      <c r="G96" s="18" t="n">
        <v>250</v>
      </c>
      <c r="H96" s="0" t="inlineStr">
        <is>
          <t>Bounty Revenue</t>
        </is>
      </c>
      <c r="I96" s="0" t="inlineStr">
        <is>
          <t>Pending Merge</t>
        </is>
      </c>
    </row>
    <row r="97">
      <c r="A97" s="24" t="n">
        <v>46264</v>
      </c>
      <c r="B97" s="0" t="inlineStr">
        <is>
          <t>CAP-SOFTWARE-2174</t>
        </is>
      </c>
      <c r="C97" s="0" t="inlineStr">
        <is>
          <t>Algora / Stripe</t>
        </is>
      </c>
      <c r="D97" s="0" t="inlineStr">
        <is>
          <t>CapSoftware (PR #2174: WebRTC session description tests in Chrome extension)</t>
        </is>
      </c>
      <c r="E97" s="18" t="n">
        <v>200</v>
      </c>
      <c r="F97" s="18" t="n">
        <v>0</v>
      </c>
      <c r="G97" s="18" t="n">
        <v>200</v>
      </c>
      <c r="H97" s="0" t="inlineStr">
        <is>
          <t>Bounty Revenue</t>
        </is>
      </c>
      <c r="I97" s="0" t="inlineStr">
        <is>
          <t>Closed</t>
        </is>
      </c>
    </row>
    <row r="98">
      <c r="A98" s="24" t="n">
        <v>46264</v>
      </c>
      <c r="B98" s="0" t="inlineStr">
        <is>
          <t>PD-KATANA-1782</t>
        </is>
      </c>
      <c r="C98" s="0" t="inlineStr">
        <is>
          <t>Algora / Stripe</t>
        </is>
      </c>
      <c r="D98" s="0" t="inlineStr">
        <is>
          <t>ProjectDiscovery (PR #1782: robotstxt crawler boundary tests in katana)</t>
        </is>
      </c>
      <c r="E98" s="18" t="n">
        <v>200</v>
      </c>
      <c r="F98" s="18" t="n">
        <v>0</v>
      </c>
      <c r="G98" s="18" t="n">
        <v>200</v>
      </c>
      <c r="H98" s="0" t="inlineStr">
        <is>
          <t>Bounty Revenue</t>
        </is>
      </c>
      <c r="I98" s="0" t="inlineStr">
        <is>
          <t>Closed</t>
        </is>
      </c>
    </row>
    <row r="99">
      <c r="A99" s="24" t="n">
        <v>46264</v>
      </c>
      <c r="B99" s="0" t="inlineStr">
        <is>
          <t>TS-CIRCUIT-987</t>
        </is>
      </c>
      <c r="C99" s="0" t="inlineStr">
        <is>
          <t>Algora / Stripe</t>
        </is>
      </c>
      <c r="D99" s="0" t="inlineStr">
        <is>
          <t>tscircuit (PR #987: two-pin terminal stub routing tests in schematic solver)</t>
        </is>
      </c>
      <c r="E99" s="18" t="n">
        <v>150</v>
      </c>
      <c r="F99" s="18" t="n">
        <v>0</v>
      </c>
      <c r="G99" s="18" t="n">
        <v>150</v>
      </c>
      <c r="H99" s="0" t="inlineStr">
        <is>
          <t>Bounty Revenue</t>
        </is>
      </c>
      <c r="I99" s="0" t="inlineStr">
        <is>
          <t>Pending Merge</t>
        </is>
      </c>
    </row>
    <row r="100">
      <c r="A100" s="24" t="n">
        <v>46264</v>
      </c>
      <c r="B100" s="0" t="inlineStr">
        <is>
          <t>TWENTY-CRM-25081</t>
        </is>
      </c>
      <c r="C100" s="0" t="inlineStr">
        <is>
          <t>Algora / Stripe</t>
        </is>
      </c>
      <c r="D100" s="0" t="inlineStr">
        <is>
          <t>Twenty CRM (PR #25081: workflow graph task execution tests)</t>
        </is>
      </c>
      <c r="E100" s="18" t="n">
        <v>250</v>
      </c>
      <c r="F100" s="18" t="n">
        <v>0</v>
      </c>
      <c r="G100" s="18" t="n">
        <v>250</v>
      </c>
      <c r="H100" s="0" t="inlineStr">
        <is>
          <t>Bounty Revenue</t>
        </is>
      </c>
      <c r="I100" s="0" t="inlineStr">
        <is>
          <t>Closed</t>
        </is>
      </c>
    </row>
    <row r="101">
      <c r="A101" s="24" t="n">
        <v>46264</v>
      </c>
      <c r="B101" s="0" t="inlineStr">
        <is>
          <t>PERMIFY-3105</t>
        </is>
      </c>
      <c r="C101" s="0" t="inlineStr">
        <is>
          <t>Algora / Stripe</t>
        </is>
      </c>
      <c r="D101" s="0" t="inlineStr">
        <is>
          <t>Permify (PR #3105: entity tuple validation regression tests)</t>
        </is>
      </c>
      <c r="E101" s="18" t="n">
        <v>250</v>
      </c>
      <c r="F101" s="18" t="n">
        <v>0</v>
      </c>
      <c r="G101" s="18" t="n">
        <v>250</v>
      </c>
      <c r="H101" s="0" t="inlineStr">
        <is>
          <t>Bounty Revenue</t>
        </is>
      </c>
      <c r="I101" s="0" t="inlineStr">
        <is>
          <t>Pending Merge</t>
        </is>
      </c>
    </row>
    <row r="102">
      <c r="A102" s="24" t="n">
        <v>46264</v>
      </c>
      <c r="B102" s="0" t="inlineStr">
        <is>
          <t>CAP-SOFTWARE-2175</t>
        </is>
      </c>
      <c r="C102" s="0" t="inlineStr">
        <is>
          <t>Algora / Stripe</t>
        </is>
      </c>
      <c r="D102" s="0" t="inlineStr">
        <is>
          <t>CapSoftware (PR #2175: WebRTC session description tests in Chrome extension)</t>
        </is>
      </c>
      <c r="E102" s="18" t="n">
        <v>200</v>
      </c>
      <c r="F102" s="18" t="n">
        <v>0</v>
      </c>
      <c r="G102" s="18" t="n">
        <v>200</v>
      </c>
      <c r="H102" s="0" t="inlineStr">
        <is>
          <t>Bounty Revenue</t>
        </is>
      </c>
      <c r="I102" s="0" t="inlineStr">
        <is>
          <t>Closed</t>
        </is>
      </c>
    </row>
    <row r="103">
      <c r="A103" s="24" t="n">
        <v>46264</v>
      </c>
      <c r="B103" s="0" t="inlineStr">
        <is>
          <t>PERMIFY-3107</t>
        </is>
      </c>
      <c r="C103" s="0" t="inlineStr">
        <is>
          <t>Algora / Stripe</t>
        </is>
      </c>
      <c r="D103" s="0" t="inlineStr">
        <is>
          <t>Permify (PR #3107: entity tuple validation regression tests)</t>
        </is>
      </c>
      <c r="E103" s="18" t="n">
        <v>250</v>
      </c>
      <c r="F103" s="18" t="n">
        <v>0</v>
      </c>
      <c r="G103" s="18" t="n">
        <v>250</v>
      </c>
      <c r="H103" s="0" t="inlineStr">
        <is>
          <t>Bounty Revenue</t>
        </is>
      </c>
      <c r="I103" s="0" t="inlineStr">
        <is>
          <t>Pending Merge</t>
        </is>
      </c>
    </row>
    <row r="104">
      <c r="A104" s="24" t="n">
        <v>46264</v>
      </c>
      <c r="B104" s="0" t="inlineStr">
        <is>
          <t>CAP-SOFTWARE-2176</t>
        </is>
      </c>
      <c r="C104" s="0" t="inlineStr">
        <is>
          <t>Algora / Stripe</t>
        </is>
      </c>
      <c r="D104" s="0" t="inlineStr">
        <is>
          <t>CapSoftware (PR #2176: WebRTC session description tests in Chrome extension)</t>
        </is>
      </c>
      <c r="E104" s="18" t="n">
        <v>200</v>
      </c>
      <c r="F104" s="18" t="n">
        <v>0</v>
      </c>
      <c r="G104" s="18" t="n">
        <v>200</v>
      </c>
      <c r="H104" s="0" t="inlineStr">
        <is>
          <t>Bounty Revenue</t>
        </is>
      </c>
      <c r="I104" s="0" t="inlineStr">
        <is>
          <t>Closed</t>
        </is>
      </c>
    </row>
    <row r="105">
      <c r="A105" s="24" t="n">
        <v>46264</v>
      </c>
      <c r="B105" s="0" t="inlineStr">
        <is>
          <t>LILLY-STELLAR-167</t>
        </is>
      </c>
      <c r="C105" s="0" t="inlineStr">
        <is>
          <t>Stellar / Algora</t>
        </is>
      </c>
      <c r="D105" s="0" t="inlineStr">
        <is>
          <t>Lilly-Protocol (PR #167: Soroban payment intent cancellation tests)</t>
        </is>
      </c>
      <c r="E105" s="18" t="n">
        <v>250</v>
      </c>
      <c r="F105" s="18" t="n">
        <v>0</v>
      </c>
      <c r="G105" s="18" t="n">
        <v>250</v>
      </c>
      <c r="H105" s="0" t="inlineStr">
        <is>
          <t>Bounty Revenue</t>
        </is>
      </c>
      <c r="I105" s="0" t="inlineStr">
        <is>
          <t>Merged / Settled</t>
        </is>
      </c>
    </row>
    <row r="106">
      <c r="A106" s="24" t="n">
        <v>46264</v>
      </c>
      <c r="B106" s="0" t="inlineStr">
        <is>
          <t>PERMIFY-3108</t>
        </is>
      </c>
      <c r="C106" s="0" t="inlineStr">
        <is>
          <t>Algora / Stripe</t>
        </is>
      </c>
      <c r="D106" s="0" t="inlineStr">
        <is>
          <t>Permify (PR #3108: entity tuple validation regression tests)</t>
        </is>
      </c>
      <c r="E106" s="18" t="n">
        <v>250</v>
      </c>
      <c r="F106" s="18" t="n">
        <v>0</v>
      </c>
      <c r="G106" s="18" t="n">
        <v>250</v>
      </c>
      <c r="H106" s="0" t="inlineStr">
        <is>
          <t>Bounty Revenue</t>
        </is>
      </c>
      <c r="I106" s="0" t="inlineStr">
        <is>
          <t>Pending Merge</t>
        </is>
      </c>
    </row>
    <row r="107">
      <c r="A107" s="24" t="n">
        <v>46264</v>
      </c>
      <c r="B107" s="0" t="inlineStr">
        <is>
          <t>CAP-SOFTWARE-2177</t>
        </is>
      </c>
      <c r="C107" s="0" t="inlineStr">
        <is>
          <t>Algora / Stripe</t>
        </is>
      </c>
      <c r="D107" s="0" t="inlineStr">
        <is>
          <t>CapSoftware (PR #2177: WebRTC session description tests in Chrome extension)</t>
        </is>
      </c>
      <c r="E107" s="18" t="n">
        <v>200</v>
      </c>
      <c r="F107" s="18" t="n">
        <v>0</v>
      </c>
      <c r="G107" s="18" t="n">
        <v>200</v>
      </c>
      <c r="H107" s="0" t="inlineStr">
        <is>
          <t>Bounty Revenue</t>
        </is>
      </c>
      <c r="I107" s="0" t="inlineStr">
        <is>
          <t>Closed</t>
        </is>
      </c>
    </row>
    <row r="108">
      <c r="A108" s="24" t="n">
        <v>46264</v>
      </c>
      <c r="B108" s="0" t="inlineStr">
        <is>
          <t>PD-KATANA-1789</t>
        </is>
      </c>
      <c r="C108" s="0" t="inlineStr">
        <is>
          <t>Algora / Stripe</t>
        </is>
      </c>
      <c r="D108" s="0" t="inlineStr">
        <is>
          <t>ProjectDiscovery (PR #1789: robotstxt crawler boundary tests in katana)</t>
        </is>
      </c>
      <c r="E108" s="18" t="n">
        <v>200</v>
      </c>
      <c r="F108" s="18" t="n">
        <v>0</v>
      </c>
      <c r="G108" s="18" t="n">
        <v>200</v>
      </c>
      <c r="H108" s="0" t="inlineStr">
        <is>
          <t>Bounty Revenue</t>
        </is>
      </c>
      <c r="I108" s="0" t="inlineStr">
        <is>
          <t>Pending Merge</t>
        </is>
      </c>
    </row>
    <row r="109">
      <c r="A109" s="24" t="n">
        <v>46264</v>
      </c>
      <c r="B109" s="0" t="inlineStr">
        <is>
          <t>TS-CIRCUIT-993</t>
        </is>
      </c>
      <c r="C109" s="0" t="inlineStr">
        <is>
          <t>Algora / Stripe</t>
        </is>
      </c>
      <c r="D109" s="0" t="inlineStr">
        <is>
          <t>tscircuit (PR #993: two-pin terminal stub routing tests in schematic solver)</t>
        </is>
      </c>
      <c r="E109" s="18" t="n">
        <v>150</v>
      </c>
      <c r="F109" s="18" t="n">
        <v>0</v>
      </c>
      <c r="G109" s="18" t="n">
        <v>150</v>
      </c>
      <c r="H109" s="0" t="inlineStr">
        <is>
          <t>Bounty Revenue</t>
        </is>
      </c>
      <c r="I109" s="0" t="inlineStr">
        <is>
          <t>Pending Merge</t>
        </is>
      </c>
    </row>
    <row r="110">
      <c r="A110" s="24" t="n">
        <v>46265.55344708333</v>
      </c>
      <c r="B110" s="0" t="inlineStr">
        <is>
          <t>PERMIFY-3109</t>
        </is>
      </c>
      <c r="C110" s="0" t="inlineStr">
        <is>
          <t>Algora / Stripe</t>
        </is>
      </c>
      <c r="D110" s="0" t="inlineStr">
        <is>
          <t>Permify (PR #3109: entity tuple validation regression tests)</t>
        </is>
      </c>
      <c r="E110" s="18" t="n">
        <v>250</v>
      </c>
      <c r="F110" s="18" t="n">
        <v>0</v>
      </c>
      <c r="G110" s="18" t="n">
        <v>250</v>
      </c>
      <c r="H110" s="0" t="inlineStr">
        <is>
          <t>Bounty Revenue</t>
        </is>
      </c>
      <c r="I110" s="0" t="inlineStr">
        <is>
          <t>Pending Merge</t>
        </is>
      </c>
    </row>
    <row r="111">
      <c r="A111" s="24" t="n">
        <v>46265.55352633102</v>
      </c>
      <c r="B111" s="0" t="inlineStr">
        <is>
          <t>CAP-SOFTWARE-2178</t>
        </is>
      </c>
      <c r="C111" s="0" t="inlineStr">
        <is>
          <t>Algora / Stripe</t>
        </is>
      </c>
      <c r="D111" s="0" t="inlineStr">
        <is>
          <t>CapSoftware (PR #2178: WebRTC session description tests in Chrome extension)</t>
        </is>
      </c>
      <c r="E111" s="18" t="n">
        <v>200</v>
      </c>
      <c r="F111" s="18" t="n">
        <v>0</v>
      </c>
      <c r="G111" s="18" t="n">
        <v>200</v>
      </c>
      <c r="H111" s="0" t="inlineStr">
        <is>
          <t>Bounty Revenue</t>
        </is>
      </c>
      <c r="I111" s="0" t="inlineStr">
        <is>
          <t>Closed</t>
        </is>
      </c>
    </row>
    <row r="112">
      <c r="A112" s="24" t="n">
        <v>46265.55359420139</v>
      </c>
      <c r="B112" s="0" t="inlineStr">
        <is>
          <t>LILLY-STELLAR-246</t>
        </is>
      </c>
      <c r="C112" s="0" t="inlineStr">
        <is>
          <t>Stellar / Algora</t>
        </is>
      </c>
      <c r="D112" s="0" t="inlineStr">
        <is>
          <t>Lilly-Protocol (PR #246: Soroban access controller authorization tests)</t>
        </is>
      </c>
      <c r="E112" s="18" t="n">
        <v>250</v>
      </c>
      <c r="F112" s="18" t="n">
        <v>0</v>
      </c>
      <c r="G112" s="18" t="n">
        <v>250</v>
      </c>
      <c r="H112" s="0" t="inlineStr">
        <is>
          <t>Bounty Revenue</t>
        </is>
      </c>
      <c r="I112" s="0" t="inlineStr">
        <is>
          <t>Merged / Settled</t>
        </is>
      </c>
    </row>
    <row r="113">
      <c r="A113" s="24" t="n">
        <v>46265.55364905093</v>
      </c>
      <c r="B113" s="0" t="inlineStr">
        <is>
          <t>PD-KATANA-1790</t>
        </is>
      </c>
      <c r="C113" s="0" t="inlineStr">
        <is>
          <t>Algora / Stripe</t>
        </is>
      </c>
      <c r="D113" s="0" t="inlineStr">
        <is>
          <t>ProjectDiscovery (PR #1790: robotstxt crawler boundary tests in katana)</t>
        </is>
      </c>
      <c r="E113" s="18" t="n">
        <v>200</v>
      </c>
      <c r="F113" s="18" t="n">
        <v>0</v>
      </c>
      <c r="G113" s="18" t="n">
        <v>200</v>
      </c>
      <c r="H113" s="0" t="inlineStr">
        <is>
          <t>Bounty Revenue</t>
        </is>
      </c>
      <c r="I113" s="0" t="inlineStr">
        <is>
          <t>Pending Merge</t>
        </is>
      </c>
    </row>
    <row r="114">
      <c r="A114" s="24" t="n">
        <v>46265.55376248842</v>
      </c>
      <c r="B114" s="0" t="inlineStr">
        <is>
          <t>TS-CIRCUIT-994</t>
        </is>
      </c>
      <c r="C114" s="0" t="inlineStr">
        <is>
          <t>Algora / Stripe</t>
        </is>
      </c>
      <c r="D114" s="0" t="inlineStr">
        <is>
          <t>tscircuit (PR #994: two-pin terminal stub routing tests in schematic solver)</t>
        </is>
      </c>
      <c r="E114" s="18" t="n">
        <v>150</v>
      </c>
      <c r="F114" s="18" t="n">
        <v>0</v>
      </c>
      <c r="G114" s="18" t="n">
        <v>150</v>
      </c>
      <c r="H114" s="0" t="inlineStr">
        <is>
          <t>Bounty Revenue</t>
        </is>
      </c>
      <c r="I114" s="0" t="inlineStr">
        <is>
          <t>Pending Merge</t>
        </is>
      </c>
    </row>
    <row r="115">
      <c r="A115" s="24" t="n">
        <v>46265.5607396875</v>
      </c>
      <c r="B115" s="0" t="inlineStr">
        <is>
          <t>PERMIFY-3110</t>
        </is>
      </c>
      <c r="C115" s="0" t="inlineStr">
        <is>
          <t>Algora / Stripe</t>
        </is>
      </c>
      <c r="D115" s="0" t="inlineStr">
        <is>
          <t>Permify (PR #3110: entity tuple validation regression tests)</t>
        </is>
      </c>
      <c r="E115" s="18" t="n">
        <v>250</v>
      </c>
      <c r="F115" s="18" t="n">
        <v>0</v>
      </c>
      <c r="G115" s="18" t="n">
        <v>250</v>
      </c>
      <c r="H115" s="0" t="inlineStr">
        <is>
          <t>Bounty Revenue</t>
        </is>
      </c>
      <c r="I115" s="0" t="inlineStr">
        <is>
          <t>Pending Merge</t>
        </is>
      </c>
    </row>
    <row r="116">
      <c r="A116" s="24" t="n">
        <v>46265.56082983797</v>
      </c>
      <c r="B116" s="0" t="inlineStr">
        <is>
          <t>CAP-SOFTWARE-2179</t>
        </is>
      </c>
      <c r="C116" s="0" t="inlineStr">
        <is>
          <t>Algora / Stripe</t>
        </is>
      </c>
      <c r="D116" s="0" t="inlineStr">
        <is>
          <t>CapSoftware (PR #2179: WebRTC session description tests in Chrome extension)</t>
        </is>
      </c>
      <c r="E116" s="18" t="n">
        <v>200</v>
      </c>
      <c r="F116" s="18" t="n">
        <v>0</v>
      </c>
      <c r="G116" s="18" t="n">
        <v>200</v>
      </c>
      <c r="H116" s="0" t="inlineStr">
        <is>
          <t>Bounty Revenue</t>
        </is>
      </c>
      <c r="I116" s="0" t="inlineStr">
        <is>
          <t>Closed</t>
        </is>
      </c>
    </row>
    <row r="117">
      <c r="A117" s="24" t="n">
        <v>46265.56088399306</v>
      </c>
      <c r="B117" s="0" t="inlineStr">
        <is>
          <t>LILLY-STELLAR-248</t>
        </is>
      </c>
      <c r="C117" s="0" t="inlineStr">
        <is>
          <t>Stellar / Algora</t>
        </is>
      </c>
      <c r="D117" s="0" t="inlineStr">
        <is>
          <t>Lilly-Protocol (PR #248: Soroban access controller authorization tests)</t>
        </is>
      </c>
      <c r="E117" s="18" t="n">
        <v>250</v>
      </c>
      <c r="F117" s="18" t="n">
        <v>0</v>
      </c>
      <c r="G117" s="18" t="n">
        <v>250</v>
      </c>
      <c r="H117" s="0" t="inlineStr">
        <is>
          <t>Bounty Revenue</t>
        </is>
      </c>
      <c r="I117" s="0" t="inlineStr">
        <is>
          <t>Merged / Settled</t>
        </is>
      </c>
    </row>
    <row r="118">
      <c r="A118" s="24" t="n">
        <v>46265.56093300926</v>
      </c>
      <c r="B118" s="0" t="inlineStr">
        <is>
          <t>PD-KATANA-1791</t>
        </is>
      </c>
      <c r="C118" s="0" t="inlineStr">
        <is>
          <t>Algora / Stripe</t>
        </is>
      </c>
      <c r="D118" s="0" t="inlineStr">
        <is>
          <t>ProjectDiscovery (PR #1791: robotstxt crawler boundary tests in katana)</t>
        </is>
      </c>
      <c r="E118" s="18" t="n">
        <v>200</v>
      </c>
      <c r="F118" s="18" t="n">
        <v>0</v>
      </c>
      <c r="G118" s="18" t="n">
        <v>200</v>
      </c>
      <c r="H118" s="0" t="inlineStr">
        <is>
          <t>Bounty Revenue</t>
        </is>
      </c>
      <c r="I118" s="0" t="inlineStr">
        <is>
          <t>Pending Merge</t>
        </is>
      </c>
    </row>
    <row r="119">
      <c r="A119" s="24" t="n">
        <v>46265.5609874537</v>
      </c>
      <c r="B119" s="0" t="inlineStr">
        <is>
          <t>TS-CIRCUIT-995</t>
        </is>
      </c>
      <c r="C119" s="0" t="inlineStr">
        <is>
          <t>Algora / Stripe</t>
        </is>
      </c>
      <c r="D119" s="0" t="inlineStr">
        <is>
          <t>tscircuit (PR #995: two-pin terminal stub routing tests in schematic solver)</t>
        </is>
      </c>
      <c r="E119" s="18" t="n">
        <v>150</v>
      </c>
      <c r="F119" s="18" t="n">
        <v>0</v>
      </c>
      <c r="G119" s="18" t="n">
        <v>150</v>
      </c>
      <c r="H119" s="0" t="inlineStr">
        <is>
          <t>Bounty Revenue</t>
        </is>
      </c>
      <c r="I119" s="0" t="inlineStr">
        <is>
          <t>Pending Merge</t>
        </is>
      </c>
    </row>
    <row r="120">
      <c r="A120" s="24" t="n">
        <v>46265.74883048611</v>
      </c>
      <c r="B120" s="0" t="inlineStr">
        <is>
          <t>PERMIFY-3111</t>
        </is>
      </c>
      <c r="C120" s="0" t="inlineStr">
        <is>
          <t>Algora / Stripe</t>
        </is>
      </c>
      <c r="D120" s="0" t="inlineStr">
        <is>
          <t>Permify (PR #3111: entity tuple validation regression tests)</t>
        </is>
      </c>
      <c r="E120" s="18" t="n">
        <v>250</v>
      </c>
      <c r="F120" s="18" t="n">
        <v>0</v>
      </c>
      <c r="G120" s="18" t="n">
        <v>250</v>
      </c>
      <c r="H120" s="0" t="inlineStr">
        <is>
          <t>Bounty Revenue</t>
        </is>
      </c>
      <c r="I120" s="0" t="inlineStr">
        <is>
          <t>Pending Merge</t>
        </is>
      </c>
    </row>
    <row r="121">
      <c r="A121" s="24" t="n">
        <v>46265.74892042824</v>
      </c>
      <c r="B121" s="0" t="inlineStr">
        <is>
          <t>CAP-SOFTWARE-2180</t>
        </is>
      </c>
      <c r="C121" s="0" t="inlineStr">
        <is>
          <t>Algora / Stripe</t>
        </is>
      </c>
      <c r="D121" s="0" t="inlineStr">
        <is>
          <t>CapSoftware (PR #2180: WebRTC session description tests in Chrome extension)</t>
        </is>
      </c>
      <c r="E121" s="18" t="n">
        <v>200</v>
      </c>
      <c r="F121" s="18" t="n">
        <v>0</v>
      </c>
      <c r="G121" s="18" t="n">
        <v>200</v>
      </c>
      <c r="H121" s="0" t="inlineStr">
        <is>
          <t>Bounty Revenue</t>
        </is>
      </c>
      <c r="I121" s="0" t="inlineStr">
        <is>
          <t>Closed</t>
        </is>
      </c>
    </row>
    <row r="122">
      <c r="A122" s="24" t="n">
        <v>46265.74902297454</v>
      </c>
      <c r="B122" s="0" t="inlineStr">
        <is>
          <t>LILLY-STELLAR-252</t>
        </is>
      </c>
      <c r="C122" s="0" t="inlineStr">
        <is>
          <t>Stellar / Algora</t>
        </is>
      </c>
      <c r="D122" s="0" t="inlineStr">
        <is>
          <t>Lilly-Protocol (PR #252: Soroban access controller authorization tests)</t>
        </is>
      </c>
      <c r="E122" s="18" t="n">
        <v>250</v>
      </c>
      <c r="F122" s="18" t="n">
        <v>0</v>
      </c>
      <c r="G122" s="18" t="n">
        <v>250</v>
      </c>
      <c r="H122" s="0" t="inlineStr">
        <is>
          <t>Bounty Revenue</t>
        </is>
      </c>
      <c r="I122" s="0" t="inlineStr">
        <is>
          <t>Merged / Settled</t>
        </is>
      </c>
    </row>
    <row r="123">
      <c r="A123" s="24" t="n">
        <v>46265.74917878472</v>
      </c>
      <c r="B123" s="0" t="inlineStr">
        <is>
          <t>PD-KATANA-1792</t>
        </is>
      </c>
      <c r="C123" s="0" t="inlineStr">
        <is>
          <t>Algora / Stripe</t>
        </is>
      </c>
      <c r="D123" s="0" t="inlineStr">
        <is>
          <t>ProjectDiscovery (PR #1792: robotstxt crawler boundary tests in katana)</t>
        </is>
      </c>
      <c r="E123" s="18" t="n">
        <v>200</v>
      </c>
      <c r="F123" s="18" t="n">
        <v>0</v>
      </c>
      <c r="G123" s="18" t="n">
        <v>200</v>
      </c>
      <c r="H123" s="0" t="inlineStr">
        <is>
          <t>Bounty Revenue</t>
        </is>
      </c>
      <c r="I123" s="0" t="inlineStr">
        <is>
          <t>Pending Merge</t>
        </is>
      </c>
    </row>
    <row r="124">
      <c r="A124" s="24" t="n">
        <v>46265.74934739583</v>
      </c>
      <c r="B124" s="0" t="inlineStr">
        <is>
          <t>TS-CIRCUIT-996</t>
        </is>
      </c>
      <c r="C124" s="0" t="inlineStr">
        <is>
          <t>Algora / Stripe</t>
        </is>
      </c>
      <c r="D124" s="0" t="inlineStr">
        <is>
          <t>tscircuit (PR #996: two-pin terminal stub routing tests in schematic solver)</t>
        </is>
      </c>
      <c r="E124" s="18" t="n">
        <v>150</v>
      </c>
      <c r="F124" s="18" t="n">
        <v>0</v>
      </c>
      <c r="G124" s="18" t="n">
        <v>150</v>
      </c>
      <c r="H124" s="0" t="inlineStr">
        <is>
          <t>Bounty Revenue</t>
        </is>
      </c>
      <c r="I124" s="0" t="inlineStr">
        <is>
          <t>Pending Merge</t>
        </is>
      </c>
    </row>
    <row r="125">
      <c r="A125" s="24" t="n">
        <v>46265.75304976852</v>
      </c>
      <c r="B125" s="0" t="inlineStr">
        <is>
          <t>PERMIFY-3112</t>
        </is>
      </c>
      <c r="C125" s="0" t="inlineStr">
        <is>
          <t>Algora / Stripe</t>
        </is>
      </c>
      <c r="D125" s="0" t="inlineStr">
        <is>
          <t>Permify (PR #3112: entity tuple validation regression tests)</t>
        </is>
      </c>
      <c r="E125" s="18" t="n">
        <v>250</v>
      </c>
      <c r="F125" s="18" t="n">
        <v>0</v>
      </c>
      <c r="G125" s="18" t="n">
        <v>250</v>
      </c>
      <c r="H125" s="0" t="inlineStr">
        <is>
          <t>Bounty Revenue</t>
        </is>
      </c>
      <c r="I125" s="0" t="inlineStr">
        <is>
          <t>Pending Merge</t>
        </is>
      </c>
    </row>
    <row r="126">
      <c r="A126" s="24" t="n">
        <v>46265.75313327547</v>
      </c>
      <c r="B126" s="0" t="inlineStr">
        <is>
          <t>CAP-SOFTWARE-2181</t>
        </is>
      </c>
      <c r="C126" s="0" t="inlineStr">
        <is>
          <t>Algora / Stripe</t>
        </is>
      </c>
      <c r="D126" s="0" t="inlineStr">
        <is>
          <t>CapSoftware (PR #2181: WebRTC session description tests in Chrome extension)</t>
        </is>
      </c>
      <c r="E126" s="18" t="n">
        <v>200</v>
      </c>
      <c r="F126" s="18" t="n">
        <v>0</v>
      </c>
      <c r="G126" s="18" t="n">
        <v>200</v>
      </c>
      <c r="H126" s="0" t="inlineStr">
        <is>
          <t>Bounty Revenue</t>
        </is>
      </c>
      <c r="I126" s="0" t="inlineStr">
        <is>
          <t>Closed</t>
        </is>
      </c>
    </row>
    <row r="127">
      <c r="A127" s="24" t="n">
        <v>46265.75319194444</v>
      </c>
      <c r="B127" s="0" t="inlineStr">
        <is>
          <t>LILLY-STELLAR-253</t>
        </is>
      </c>
      <c r="C127" s="0" t="inlineStr">
        <is>
          <t>Stellar / Algora</t>
        </is>
      </c>
      <c r="D127" s="0" t="inlineStr">
        <is>
          <t>Lilly-Protocol (PR #253: Soroban access controller authorization tests)</t>
        </is>
      </c>
      <c r="E127" s="18" t="n">
        <v>250</v>
      </c>
      <c r="F127" s="18" t="n">
        <v>0</v>
      </c>
      <c r="G127" s="18" t="n">
        <v>250</v>
      </c>
      <c r="H127" s="0" t="inlineStr">
        <is>
          <t>Bounty Revenue</t>
        </is>
      </c>
      <c r="I127" s="0" t="inlineStr">
        <is>
          <t>Merged / Settled</t>
        </is>
      </c>
    </row>
    <row r="128">
      <c r="A128" s="24" t="n">
        <v>46265.75324363426</v>
      </c>
      <c r="B128" s="0" t="inlineStr">
        <is>
          <t>PD-KATANA-1793</t>
        </is>
      </c>
      <c r="C128" s="0" t="inlineStr">
        <is>
          <t>Algora / Stripe</t>
        </is>
      </c>
      <c r="D128" s="0" t="inlineStr">
        <is>
          <t>ProjectDiscovery (PR #1793: robotstxt crawler boundary tests in katana)</t>
        </is>
      </c>
      <c r="E128" s="18" t="n">
        <v>200</v>
      </c>
      <c r="F128" s="18" t="n">
        <v>0</v>
      </c>
      <c r="G128" s="18" t="n">
        <v>200</v>
      </c>
      <c r="H128" s="0" t="inlineStr">
        <is>
          <t>Bounty Revenue</t>
        </is>
      </c>
      <c r="I128" s="0" t="inlineStr">
        <is>
          <t>Pending Merge</t>
        </is>
      </c>
    </row>
    <row r="129">
      <c r="A129" s="24" t="n">
        <v>46265.75329423611</v>
      </c>
      <c r="B129" s="0" t="inlineStr">
        <is>
          <t>TS-CIRCUIT-997</t>
        </is>
      </c>
      <c r="C129" s="0" t="inlineStr">
        <is>
          <t>Algora / Stripe</t>
        </is>
      </c>
      <c r="D129" s="0" t="inlineStr">
        <is>
          <t>tscircuit (PR #997: two-pin terminal stub routing tests in schematic solver)</t>
        </is>
      </c>
      <c r="E129" s="18" t="n">
        <v>150</v>
      </c>
      <c r="F129" s="18" t="n">
        <v>0</v>
      </c>
      <c r="G129" s="18" t="n">
        <v>150</v>
      </c>
      <c r="H129" s="0" t="inlineStr">
        <is>
          <t>Bounty Revenue</t>
        </is>
      </c>
      <c r="I129" s="0" t="inlineStr">
        <is>
          <t>Pending Merge</t>
        </is>
      </c>
    </row>
    <row r="130">
      <c r="A130" s="24" t="n">
        <v>46266.66320175926</v>
      </c>
      <c r="B130" s="0" t="inlineStr">
        <is>
          <t>PERMIFY-3121</t>
        </is>
      </c>
      <c r="C130" s="0" t="inlineStr">
        <is>
          <t>Algora / Stripe</t>
        </is>
      </c>
      <c r="D130" s="0" t="inlineStr">
        <is>
          <t>Permify (PR #3121: entity tuple validation regression tests)</t>
        </is>
      </c>
      <c r="E130" s="18" t="n">
        <v>250</v>
      </c>
      <c r="F130" s="18" t="n">
        <v>0</v>
      </c>
      <c r="G130" s="18" t="n">
        <v>250</v>
      </c>
      <c r="H130" s="0" t="inlineStr">
        <is>
          <t>Bounty Revenue</t>
        </is>
      </c>
      <c r="I130" s="0" t="inlineStr">
        <is>
          <t>Pending Merge</t>
        </is>
      </c>
    </row>
    <row r="131">
      <c r="A131" s="24" t="n">
        <v>46266.66333415509</v>
      </c>
      <c r="B131" s="0" t="inlineStr">
        <is>
          <t>CAP-SOFTWARE-2183</t>
        </is>
      </c>
      <c r="C131" s="0" t="inlineStr">
        <is>
          <t>Algora / Stripe</t>
        </is>
      </c>
      <c r="D131" s="0" t="inlineStr">
        <is>
          <t>CapSoftware (PR #2183: WebRTC session description tests in Chrome extension)</t>
        </is>
      </c>
      <c r="E131" s="18" t="n">
        <v>200</v>
      </c>
      <c r="F131" s="18" t="n">
        <v>0</v>
      </c>
      <c r="G131" s="18" t="n">
        <v>200</v>
      </c>
      <c r="H131" s="0" t="inlineStr">
        <is>
          <t>Bounty Revenue</t>
        </is>
      </c>
      <c r="I131" s="0" t="inlineStr">
        <is>
          <t>Closed</t>
        </is>
      </c>
    </row>
    <row r="132">
      <c r="A132" s="24" t="n">
        <v>46266.66339706018</v>
      </c>
      <c r="B132" s="0" t="inlineStr">
        <is>
          <t>LILLY-STELLAR-270</t>
        </is>
      </c>
      <c r="C132" s="0" t="inlineStr">
        <is>
          <t>Stellar / Algora</t>
        </is>
      </c>
      <c r="D132" s="0" t="inlineStr">
        <is>
          <t>Lilly-Protocol (PR #270: Soroban access controller authorization tests)</t>
        </is>
      </c>
      <c r="E132" s="18" t="n">
        <v>250</v>
      </c>
      <c r="F132" s="18" t="n">
        <v>0</v>
      </c>
      <c r="G132" s="18" t="n">
        <v>250</v>
      </c>
      <c r="H132" s="0" t="inlineStr">
        <is>
          <t>Bounty Revenue</t>
        </is>
      </c>
      <c r="I132" s="0" t="inlineStr">
        <is>
          <t>Merged / Settled</t>
        </is>
      </c>
    </row>
    <row r="133">
      <c r="A133" s="24" t="n">
        <v>46266.66350229167</v>
      </c>
      <c r="B133" s="0" t="inlineStr">
        <is>
          <t>PD-KATANA-1794</t>
        </is>
      </c>
      <c r="C133" s="0" t="inlineStr">
        <is>
          <t>Algora / Stripe</t>
        </is>
      </c>
      <c r="D133" s="0" t="inlineStr">
        <is>
          <t>ProjectDiscovery (PR #1794: robotstxt crawler boundary tests in katana)</t>
        </is>
      </c>
      <c r="E133" s="18" t="n">
        <v>200</v>
      </c>
      <c r="F133" s="18" t="n">
        <v>0</v>
      </c>
      <c r="G133" s="18" t="n">
        <v>200</v>
      </c>
      <c r="H133" s="0" t="inlineStr">
        <is>
          <t>Bounty Revenue</t>
        </is>
      </c>
      <c r="I133" s="0" t="inlineStr">
        <is>
          <t>Pending Merge</t>
        </is>
      </c>
    </row>
    <row r="134">
      <c r="A134" s="24" t="n">
        <v>46266.6635877662</v>
      </c>
      <c r="B134" s="0" t="inlineStr">
        <is>
          <t>TS-CIRCUIT-1029</t>
        </is>
      </c>
      <c r="C134" s="0" t="inlineStr">
        <is>
          <t>Algora / Stripe</t>
        </is>
      </c>
      <c r="D134" s="0" t="inlineStr">
        <is>
          <t>tscircuit (PR #1029: two-pin terminal stub routing tests in schematic solver)</t>
        </is>
      </c>
      <c r="E134" s="18" t="n">
        <v>150</v>
      </c>
      <c r="F134" s="18" t="n">
        <v>0</v>
      </c>
      <c r="G134" s="18" t="n">
        <v>150</v>
      </c>
      <c r="H134" s="0" t="inlineStr">
        <is>
          <t>Bounty Revenue</t>
        </is>
      </c>
      <c r="I134" s="0" t="inlineStr">
        <is>
          <t>Pending Merge</t>
        </is>
      </c>
    </row>
    <row r="135">
      <c r="A135" s="24" t="n">
        <v>46266.72034719907</v>
      </c>
      <c r="B135" s="0" t="inlineStr">
        <is>
          <t>PERMIFY-3122</t>
        </is>
      </c>
      <c r="C135" s="0" t="inlineStr">
        <is>
          <t>Algora / Stripe</t>
        </is>
      </c>
      <c r="D135" s="0" t="inlineStr">
        <is>
          <t>Permify (PR #3122: entity tuple validation regression tests)</t>
        </is>
      </c>
      <c r="E135" s="18" t="n">
        <v>250</v>
      </c>
      <c r="F135" s="18" t="n">
        <v>0</v>
      </c>
      <c r="G135" s="18" t="n">
        <v>250</v>
      </c>
      <c r="H135" s="0" t="inlineStr">
        <is>
          <t>Bounty Revenue</t>
        </is>
      </c>
      <c r="I135" s="0" t="inlineStr">
        <is>
          <t>Pending Merge</t>
        </is>
      </c>
    </row>
    <row r="136">
      <c r="A136" s="24" t="n">
        <v>46266.72043886574</v>
      </c>
      <c r="B136" s="0" t="inlineStr">
        <is>
          <t>CAP-SOFTWARE-2184</t>
        </is>
      </c>
      <c r="C136" s="0" t="inlineStr">
        <is>
          <t>Algora / Stripe</t>
        </is>
      </c>
      <c r="D136" s="0" t="inlineStr">
        <is>
          <t>CapSoftware (PR #2184: WebRTC session description tests in Chrome extension)</t>
        </is>
      </c>
      <c r="E136" s="18" t="n">
        <v>200</v>
      </c>
      <c r="F136" s="18" t="n">
        <v>0</v>
      </c>
      <c r="G136" s="18" t="n">
        <v>200</v>
      </c>
      <c r="H136" s="0" t="inlineStr">
        <is>
          <t>Bounty Revenue</t>
        </is>
      </c>
      <c r="I136" s="0" t="inlineStr">
        <is>
          <t>Closed</t>
        </is>
      </c>
    </row>
    <row r="137">
      <c r="A137" s="24" t="n">
        <v>46266.720501875</v>
      </c>
      <c r="B137" s="0" t="inlineStr">
        <is>
          <t>LILLY-STELLAR-271</t>
        </is>
      </c>
      <c r="C137" s="0" t="inlineStr">
        <is>
          <t>Stellar / Algora</t>
        </is>
      </c>
      <c r="D137" s="0" t="inlineStr">
        <is>
          <t>Lilly-Protocol (PR #271: Soroban access controller authorization tests)</t>
        </is>
      </c>
      <c r="E137" s="18" t="n">
        <v>250</v>
      </c>
      <c r="F137" s="18" t="n">
        <v>0</v>
      </c>
      <c r="G137" s="18" t="n">
        <v>250</v>
      </c>
      <c r="H137" s="0" t="inlineStr">
        <is>
          <t>Bounty Revenue</t>
        </is>
      </c>
      <c r="I137" s="0" t="inlineStr">
        <is>
          <t>Merged / Settled</t>
        </is>
      </c>
    </row>
    <row r="138">
      <c r="A138" s="24" t="n">
        <v>46266.72061013889</v>
      </c>
      <c r="B138" s="0" t="inlineStr">
        <is>
          <t>PD-KATANA-1795</t>
        </is>
      </c>
      <c r="C138" s="0" t="inlineStr">
        <is>
          <t>Algora / Stripe</t>
        </is>
      </c>
      <c r="D138" s="0" t="inlineStr">
        <is>
          <t>ProjectDiscovery (PR #1795: robotstxt crawler boundary tests in katana)</t>
        </is>
      </c>
      <c r="E138" s="18" t="n">
        <v>200</v>
      </c>
      <c r="F138" s="18" t="n">
        <v>0</v>
      </c>
      <c r="G138" s="18" t="n">
        <v>200</v>
      </c>
      <c r="H138" s="0" t="inlineStr">
        <is>
          <t>Bounty Revenue</t>
        </is>
      </c>
      <c r="I138" s="0" t="inlineStr">
        <is>
          <t>Pending Merge</t>
        </is>
      </c>
    </row>
    <row r="139">
      <c r="A139" s="24" t="n">
        <v>46266.72072618055</v>
      </c>
      <c r="B139" s="0" t="inlineStr">
        <is>
          <t>TS-CIRCUIT-1030</t>
        </is>
      </c>
      <c r="C139" s="0" t="inlineStr">
        <is>
          <t>Algora / Stripe</t>
        </is>
      </c>
      <c r="D139" s="0" t="inlineStr">
        <is>
          <t>tscircuit (PR #1030: two-pin terminal stub routing tests in schematic solver)</t>
        </is>
      </c>
      <c r="E139" s="18" t="n">
        <v>150</v>
      </c>
      <c r="F139" s="18" t="n">
        <v>0</v>
      </c>
      <c r="G139" s="18" t="n">
        <v>150</v>
      </c>
      <c r="H139" s="0" t="inlineStr">
        <is>
          <t>Bounty Revenue</t>
        </is>
      </c>
      <c r="I139" s="0" t="inlineStr">
        <is>
          <t>Pending Merge</t>
        </is>
      </c>
    </row>
    <row r="140">
      <c r="A140" s="24" t="n">
        <v>46266.81990309028</v>
      </c>
      <c r="B140" s="0" t="inlineStr">
        <is>
          <t>PERMIFY-3123</t>
        </is>
      </c>
      <c r="C140" s="0" t="inlineStr">
        <is>
          <t>Algora / Stripe</t>
        </is>
      </c>
      <c r="D140" s="0" t="inlineStr">
        <is>
          <t>Permify (PR #3123: entity tuple validation regression tests)</t>
        </is>
      </c>
      <c r="E140" s="18" t="n">
        <v>250</v>
      </c>
      <c r="F140" s="18" t="n">
        <v>0</v>
      </c>
      <c r="G140" s="18" t="n">
        <v>250</v>
      </c>
      <c r="H140" s="0" t="inlineStr">
        <is>
          <t>Bounty Revenue</t>
        </is>
      </c>
      <c r="I140" s="0" t="inlineStr">
        <is>
          <t>Pending Merge</t>
        </is>
      </c>
    </row>
    <row r="141">
      <c r="A141" s="24" t="n">
        <v>46266.81997586806</v>
      </c>
      <c r="B141" s="0" t="inlineStr">
        <is>
          <t>CAP-SOFTWARE-2186</t>
        </is>
      </c>
      <c r="C141" s="0" t="inlineStr">
        <is>
          <t>Algora / Stripe</t>
        </is>
      </c>
      <c r="D141" s="0" t="inlineStr">
        <is>
          <t>CapSoftware (PR #2186: WebRTC session description tests in Chrome extension)</t>
        </is>
      </c>
      <c r="E141" s="18" t="n">
        <v>200</v>
      </c>
      <c r="F141" s="18" t="n">
        <v>0</v>
      </c>
      <c r="G141" s="18" t="n">
        <v>200</v>
      </c>
      <c r="H141" s="0" t="inlineStr">
        <is>
          <t>Bounty Revenue</t>
        </is>
      </c>
      <c r="I141" s="0" t="inlineStr">
        <is>
          <t>Closed</t>
        </is>
      </c>
    </row>
    <row r="142">
      <c r="A142" s="24" t="n">
        <v>46266.82002665509</v>
      </c>
      <c r="B142" s="0" t="inlineStr">
        <is>
          <t>LILLY-STELLAR-272</t>
        </is>
      </c>
      <c r="C142" s="0" t="inlineStr">
        <is>
          <t>Stellar / Algora</t>
        </is>
      </c>
      <c r="D142" s="0" t="inlineStr">
        <is>
          <t>Lilly-Protocol (PR #272: Soroban access controller authorization tests)</t>
        </is>
      </c>
      <c r="E142" s="18" t="n">
        <v>250</v>
      </c>
      <c r="F142" s="18" t="n">
        <v>0</v>
      </c>
      <c r="G142" s="18" t="n">
        <v>250</v>
      </c>
      <c r="H142" s="0" t="inlineStr">
        <is>
          <t>Bounty Revenue</t>
        </is>
      </c>
      <c r="I142" s="0" t="inlineStr">
        <is>
          <t>Merged / Settled</t>
        </is>
      </c>
    </row>
    <row r="143">
      <c r="A143" s="24" t="n">
        <v>46266.82007112268</v>
      </c>
      <c r="B143" s="0" t="inlineStr">
        <is>
          <t>PD-KATANA-1796</t>
        </is>
      </c>
      <c r="C143" s="0" t="inlineStr">
        <is>
          <t>Algora / Stripe</t>
        </is>
      </c>
      <c r="D143" s="0" t="inlineStr">
        <is>
          <t>ProjectDiscovery (PR #1796: robotstxt crawler boundary tests in katana)</t>
        </is>
      </c>
      <c r="E143" s="18" t="n">
        <v>200</v>
      </c>
      <c r="F143" s="18" t="n">
        <v>0</v>
      </c>
      <c r="G143" s="18" t="n">
        <v>200</v>
      </c>
      <c r="H143" s="0" t="inlineStr">
        <is>
          <t>Bounty Revenue</t>
        </is>
      </c>
      <c r="I143" s="0" t="inlineStr">
        <is>
          <t>Pending Merge</t>
        </is>
      </c>
    </row>
    <row r="144">
      <c r="A144" s="24" t="n">
        <v>46266.82012042824</v>
      </c>
      <c r="B144" s="0" t="inlineStr">
        <is>
          <t>TS-CIRCUIT-1031</t>
        </is>
      </c>
      <c r="C144" s="0" t="inlineStr">
        <is>
          <t>Algora / Stripe</t>
        </is>
      </c>
      <c r="D144" s="0" t="inlineStr">
        <is>
          <t>tscircuit (PR #1031: two-pin terminal stub routing tests in schematic solver)</t>
        </is>
      </c>
      <c r="E144" s="18" t="n">
        <v>150</v>
      </c>
      <c r="F144" s="18" t="n">
        <v>0</v>
      </c>
      <c r="G144" s="18" t="n">
        <v>150</v>
      </c>
      <c r="H144" s="0" t="inlineStr">
        <is>
          <t>Bounty Revenue</t>
        </is>
      </c>
      <c r="I144" s="0" t="inlineStr">
        <is>
          <t>Pending Merge</t>
        </is>
      </c>
    </row>
    <row r="145">
      <c r="A145" s="24" t="n">
        <v>46266.82856056713</v>
      </c>
      <c r="B145" s="0" t="inlineStr">
        <is>
          <t>PERMIFY-3124</t>
        </is>
      </c>
      <c r="C145" s="0" t="inlineStr">
        <is>
          <t>Algora / Stripe</t>
        </is>
      </c>
      <c r="D145" s="0" t="inlineStr">
        <is>
          <t>Permify (PR #3124: entity tuple validation regression tests)</t>
        </is>
      </c>
      <c r="E145" s="18" t="n">
        <v>250</v>
      </c>
      <c r="F145" s="18" t="n">
        <v>0</v>
      </c>
      <c r="G145" s="18" t="n">
        <v>250</v>
      </c>
      <c r="H145" s="0" t="inlineStr">
        <is>
          <t>Bounty Revenue</t>
        </is>
      </c>
      <c r="I145" s="0" t="inlineStr">
        <is>
          <t>Pending Merge</t>
        </is>
      </c>
    </row>
    <row r="146">
      <c r="A146" s="24" t="n">
        <v>46266.82874179398</v>
      </c>
      <c r="B146" s="0" t="inlineStr">
        <is>
          <t>CAP-SOFTWARE-2187</t>
        </is>
      </c>
      <c r="C146" s="0" t="inlineStr">
        <is>
          <t>Algora / Stripe</t>
        </is>
      </c>
      <c r="D146" s="0" t="inlineStr">
        <is>
          <t>CapSoftware (PR #2187: WebRTC session description tests in Chrome extension)</t>
        </is>
      </c>
      <c r="E146" s="18" t="n">
        <v>200</v>
      </c>
      <c r="F146" s="18" t="n">
        <v>0</v>
      </c>
      <c r="G146" s="18" t="n">
        <v>200</v>
      </c>
      <c r="H146" s="0" t="inlineStr">
        <is>
          <t>Bounty Revenue</t>
        </is>
      </c>
      <c r="I146" s="0" t="inlineStr">
        <is>
          <t>Closed</t>
        </is>
      </c>
    </row>
    <row r="147">
      <c r="A147" s="24" t="n">
        <v>46266.82892642361</v>
      </c>
      <c r="B147" s="0" t="inlineStr">
        <is>
          <t>LILLY-STELLAR-273</t>
        </is>
      </c>
      <c r="C147" s="0" t="inlineStr">
        <is>
          <t>Stellar / Algora</t>
        </is>
      </c>
      <c r="D147" s="0" t="inlineStr">
        <is>
          <t>Lilly-Protocol (PR #273: Soroban access controller authorization tests)</t>
        </is>
      </c>
      <c r="E147" s="18" t="n">
        <v>250</v>
      </c>
      <c r="F147" s="18" t="n">
        <v>0</v>
      </c>
      <c r="G147" s="18" t="n">
        <v>250</v>
      </c>
      <c r="H147" s="0" t="inlineStr">
        <is>
          <t>Bounty Revenue</t>
        </is>
      </c>
      <c r="I147" s="0" t="inlineStr">
        <is>
          <t>Merged / Pending Payout</t>
        </is>
      </c>
    </row>
    <row r="148">
      <c r="A148" s="24" t="n">
        <v>46266.829065625</v>
      </c>
      <c r="B148" s="0" t="inlineStr">
        <is>
          <t>PD-KATANA-1797</t>
        </is>
      </c>
      <c r="C148" s="0" t="inlineStr">
        <is>
          <t>Algora / Stripe</t>
        </is>
      </c>
      <c r="D148" s="0" t="inlineStr">
        <is>
          <t>ProjectDiscovery (PR #1797: robotstxt crawler boundary tests in katana)</t>
        </is>
      </c>
      <c r="E148" s="18" t="n">
        <v>200</v>
      </c>
      <c r="F148" s="18" t="n">
        <v>0</v>
      </c>
      <c r="G148" s="18" t="n">
        <v>200</v>
      </c>
      <c r="H148" s="0" t="inlineStr">
        <is>
          <t>Bounty Revenue</t>
        </is>
      </c>
      <c r="I148" s="0" t="inlineStr">
        <is>
          <t>Pending Merge</t>
        </is>
      </c>
    </row>
    <row r="149">
      <c r="A149" s="24" t="n">
        <v>46266.82926414352</v>
      </c>
      <c r="B149" s="0" t="inlineStr">
        <is>
          <t>TS-CIRCUIT-1033</t>
        </is>
      </c>
      <c r="C149" s="0" t="inlineStr">
        <is>
          <t>Algora / Stripe</t>
        </is>
      </c>
      <c r="D149" s="0" t="inlineStr">
        <is>
          <t>tscircuit (PR #1033: two-pin terminal stub routing tests in schematic solver)</t>
        </is>
      </c>
      <c r="E149" s="18" t="n">
        <v>150</v>
      </c>
      <c r="F149" s="18" t="n">
        <v>0</v>
      </c>
      <c r="G149" s="18" t="n">
        <v>150</v>
      </c>
      <c r="H149" s="0" t="inlineStr">
        <is>
          <t>Bounty Revenue</t>
        </is>
      </c>
      <c r="I149" s="0" t="inlineStr">
        <is>
          <t>Pending Merge</t>
        </is>
      </c>
    </row>
    <row r="150">
      <c r="A150" s="24" t="n">
        <v>46267.08127998842</v>
      </c>
      <c r="B150" s="0" t="inlineStr">
        <is>
          <t>PD-KATANA-1798</t>
        </is>
      </c>
      <c r="C150" s="0" t="inlineStr">
        <is>
          <t>Algora / Stripe</t>
        </is>
      </c>
      <c r="D150" s="0" t="inlineStr">
        <is>
          <t>ProjectDiscovery (PR #1798: dev-aligned robotstxt boundary tests in katana)</t>
        </is>
      </c>
      <c r="E150" s="18" t="inlineStr">
        <is>
          <t>ProjectDiscovery</t>
        </is>
      </c>
      <c r="F150" s="18" t="n">
        <v>200</v>
      </c>
      <c r="G150" s="18" t="n">
        <v>200</v>
      </c>
      <c r="H150" s="0" t="inlineStr">
        <is>
          <t>Bounty Revenue</t>
        </is>
      </c>
      <c r="I150" s="0" t="inlineStr">
        <is>
          <t>Pending Merge</t>
        </is>
      </c>
    </row>
    <row r="151">
      <c r="A151" s="24" t="n">
        <v>46267.14873689815</v>
      </c>
      <c r="B151" s="0" t="inlineStr">
        <is>
          <t>LILLY-SDK-399</t>
        </is>
      </c>
      <c r="C151" s="0" t="inlineStr">
        <is>
          <t>Stellar / Algora</t>
        </is>
      </c>
      <c r="D151" s="0" t="inlineStr">
        <is>
          <t>Lilly-Protocol (PR #399: AgentClient 100% test coverage in lily-sdk)</t>
        </is>
      </c>
      <c r="E151" s="18" t="inlineStr">
        <is>
          <t>Lilly-Protocol</t>
        </is>
      </c>
      <c r="F151" s="18" t="n">
        <v>250</v>
      </c>
      <c r="G151" s="18" t="n">
        <v>250</v>
      </c>
      <c r="H151" s="0" t="inlineStr">
        <is>
          <t>Bounty Revenue</t>
        </is>
      </c>
      <c r="I151" s="0" t="inlineStr">
        <is>
          <t>Merged / Settled</t>
        </is>
      </c>
    </row>
    <row r="152">
      <c r="A152" s="24" t="n">
        <v>46266.60208333333</v>
      </c>
      <c r="B152" s="0" t="inlineStr">
        <is>
          <t>LILLY-FRONT-190</t>
        </is>
      </c>
      <c r="C152" s="0" t="inlineStr">
        <is>
          <t>Stellar / Algora</t>
        </is>
      </c>
      <c r="D152" s="0" t="inlineStr">
        <is>
          <t>Lilly-Protocol (PR #190: shared SiteFooter component across section layouts)</t>
        </is>
      </c>
      <c r="E152" s="18" t="inlineStr">
        <is>
          <t>Lilly-Protocol</t>
        </is>
      </c>
      <c r="F152" s="18" t="n">
        <v>75</v>
      </c>
      <c r="G152" s="18" t="n">
        <v>75</v>
      </c>
      <c r="H152" s="0" t="inlineStr">
        <is>
          <t>Bounty Revenue</t>
        </is>
      </c>
      <c r="I152" s="0" t="inlineStr">
        <is>
          <t>Merged / Settled</t>
        </is>
      </c>
    </row>
    <row r="153">
      <c r="A153" s="24" t="n">
        <v>46267.70046903935</v>
      </c>
      <c r="B153" s="0" t="inlineStr">
        <is>
          <t>PERMIFY-3127</t>
        </is>
      </c>
      <c r="C153" s="0" t="inlineStr">
        <is>
          <t>Algora / Stripe</t>
        </is>
      </c>
      <c r="D153" s="0" t="inlineStr">
        <is>
          <t>Permify (PR #3127: entity tuple validation regression tests)</t>
        </is>
      </c>
      <c r="E153" s="18" t="n">
        <v>250</v>
      </c>
      <c r="F153" s="18" t="n">
        <v>0</v>
      </c>
      <c r="G153" s="18" t="n">
        <v>250</v>
      </c>
      <c r="H153" s="0" t="inlineStr">
        <is>
          <t>Bounty Revenue</t>
        </is>
      </c>
      <c r="I153" s="0" t="inlineStr">
        <is>
          <t>Pending Merge</t>
        </is>
      </c>
    </row>
    <row r="154">
      <c r="A154" s="24" t="n">
        <v>46267.70057442129</v>
      </c>
      <c r="B154" s="0" t="inlineStr">
        <is>
          <t>CAP-SOFTWARE-2198</t>
        </is>
      </c>
      <c r="C154" s="0" t="inlineStr">
        <is>
          <t>Algora / Stripe</t>
        </is>
      </c>
      <c r="D154" s="0" t="inlineStr">
        <is>
          <t>CapSoftware (PR #2198: WebRTC session description tests in Chrome extension)</t>
        </is>
      </c>
      <c r="E154" s="18" t="n">
        <v>200</v>
      </c>
      <c r="F154" s="18" t="n">
        <v>0</v>
      </c>
      <c r="G154" s="18" t="n">
        <v>200</v>
      </c>
      <c r="H154" s="0" t="inlineStr">
        <is>
          <t>Bounty Revenue</t>
        </is>
      </c>
      <c r="I154" s="0" t="inlineStr">
        <is>
          <t>Closed</t>
        </is>
      </c>
    </row>
    <row r="155">
      <c r="A155" s="24" t="n">
        <v>46267.70064333333</v>
      </c>
      <c r="B155" s="0" t="inlineStr">
        <is>
          <t>LILLY-STELLAR-278</t>
        </is>
      </c>
      <c r="C155" s="0" t="inlineStr">
        <is>
          <t>Stellar / Algora</t>
        </is>
      </c>
      <c r="D155" s="0" t="inlineStr">
        <is>
          <t>Lilly-Protocol (PR #278: Soroban access controller authorization tests)</t>
        </is>
      </c>
      <c r="E155" s="18" t="n">
        <v>250</v>
      </c>
      <c r="F155" s="18" t="n">
        <v>0</v>
      </c>
      <c r="G155" s="18" t="n">
        <v>250</v>
      </c>
      <c r="H155" s="0" t="inlineStr">
        <is>
          <t>Bounty Revenue</t>
        </is>
      </c>
      <c r="I155" s="0" t="inlineStr">
        <is>
          <t>Pending Merge</t>
        </is>
      </c>
    </row>
    <row r="156">
      <c r="A156" s="24" t="n">
        <v>46267.70069011574</v>
      </c>
      <c r="B156" s="0" t="inlineStr">
        <is>
          <t>PD-KATANA-1799</t>
        </is>
      </c>
      <c r="C156" s="0" t="inlineStr">
        <is>
          <t>Algora / Stripe</t>
        </is>
      </c>
      <c r="D156" s="0" t="inlineStr">
        <is>
          <t>ProjectDiscovery (PR #1799: robotstxt crawler boundary tests in katana)</t>
        </is>
      </c>
      <c r="E156" s="18" t="n">
        <v>200</v>
      </c>
      <c r="F156" s="18" t="n">
        <v>0</v>
      </c>
      <c r="G156" s="18" t="n">
        <v>200</v>
      </c>
      <c r="H156" s="0" t="inlineStr">
        <is>
          <t>Bounty Revenue</t>
        </is>
      </c>
      <c r="I156" s="0" t="inlineStr">
        <is>
          <t>Pending Merge</t>
        </is>
      </c>
    </row>
    <row r="157">
      <c r="A157" s="24" t="n">
        <v>46267.700736875</v>
      </c>
      <c r="B157" s="0" t="inlineStr">
        <is>
          <t>TS-CIRCUIT-1041</t>
        </is>
      </c>
      <c r="C157" s="0" t="inlineStr">
        <is>
          <t>Algora / Stripe</t>
        </is>
      </c>
      <c r="D157" s="0" t="inlineStr">
        <is>
          <t>tscircuit (PR #1041: two-pin terminal stub routing tests in schematic solver)</t>
        </is>
      </c>
      <c r="E157" s="18" t="n">
        <v>150</v>
      </c>
      <c r="F157" s="18" t="n">
        <v>0</v>
      </c>
      <c r="G157" s="18" t="n">
        <v>150</v>
      </c>
      <c r="H157" s="0" t="inlineStr">
        <is>
          <t>Bounty Revenue</t>
        </is>
      </c>
      <c r="I157" s="0" t="inlineStr">
        <is>
          <t>Pending Merge</t>
        </is>
      </c>
    </row>
    <row r="158">
      <c r="A158" s="24" t="n">
        <v>46267.70672109954</v>
      </c>
      <c r="B158" s="0" t="inlineStr">
        <is>
          <t>PERMIFY-3128</t>
        </is>
      </c>
      <c r="C158" s="0" t="inlineStr">
        <is>
          <t>Algora / Stripe</t>
        </is>
      </c>
      <c r="D158" s="0" t="inlineStr">
        <is>
          <t>Permify (PR #3128: entity tuple validation regression tests)</t>
        </is>
      </c>
      <c r="E158" s="18" t="n">
        <v>250</v>
      </c>
      <c r="F158" s="18" t="n">
        <v>0</v>
      </c>
      <c r="G158" s="18" t="n">
        <v>250</v>
      </c>
      <c r="H158" s="0" t="inlineStr">
        <is>
          <t>Bounty Revenue</t>
        </is>
      </c>
      <c r="I158" s="0" t="inlineStr">
        <is>
          <t>Pending Merge</t>
        </is>
      </c>
    </row>
    <row r="159">
      <c r="A159" s="24" t="n">
        <v>46267.70682915509</v>
      </c>
      <c r="B159" s="0" t="inlineStr">
        <is>
          <t>CAP-SOFTWARE-2199</t>
        </is>
      </c>
      <c r="C159" s="0" t="inlineStr">
        <is>
          <t>Algora / Stripe</t>
        </is>
      </c>
      <c r="D159" s="0" t="inlineStr">
        <is>
          <t>CapSoftware (PR #2199: WebRTC session description tests in Chrome extension)</t>
        </is>
      </c>
      <c r="E159" s="18" t="n">
        <v>200</v>
      </c>
      <c r="F159" s="18" t="n">
        <v>0</v>
      </c>
      <c r="G159" s="18" t="n">
        <v>200</v>
      </c>
      <c r="H159" s="0" t="inlineStr">
        <is>
          <t>Bounty Revenue</t>
        </is>
      </c>
      <c r="I159" s="0" t="inlineStr">
        <is>
          <t>Closed</t>
        </is>
      </c>
    </row>
    <row r="160">
      <c r="A160" s="24" t="n">
        <v>46267.70689410879</v>
      </c>
      <c r="B160" s="0" t="inlineStr">
        <is>
          <t>LILLY-STELLAR-279</t>
        </is>
      </c>
      <c r="C160" s="0" t="inlineStr">
        <is>
          <t>Stellar / Algora</t>
        </is>
      </c>
      <c r="D160" s="0" t="inlineStr">
        <is>
          <t>Lilly-Protocol (PR #279: Soroban access controller authorization tests)</t>
        </is>
      </c>
      <c r="E160" s="18" t="n">
        <v>250</v>
      </c>
      <c r="F160" s="18" t="n">
        <v>0</v>
      </c>
      <c r="G160" s="18" t="n">
        <v>250</v>
      </c>
      <c r="H160" s="0" t="inlineStr">
        <is>
          <t>Bounty Revenue</t>
        </is>
      </c>
      <c r="I160" s="0" t="inlineStr">
        <is>
          <t>Pending Merge</t>
        </is>
      </c>
    </row>
    <row r="161">
      <c r="A161" s="24" t="n">
        <v>46267.70696092593</v>
      </c>
      <c r="B161" s="0" t="inlineStr">
        <is>
          <t>PD-KATANA-1800</t>
        </is>
      </c>
      <c r="C161" s="0" t="inlineStr">
        <is>
          <t>Algora / Stripe</t>
        </is>
      </c>
      <c r="D161" s="0" t="inlineStr">
        <is>
          <t>ProjectDiscovery (PR #1800: robotstxt crawler boundary tests in katana)</t>
        </is>
      </c>
      <c r="E161" s="18" t="n">
        <v>200</v>
      </c>
      <c r="F161" s="18" t="n">
        <v>0</v>
      </c>
      <c r="G161" s="18" t="n">
        <v>200</v>
      </c>
      <c r="H161" s="0" t="inlineStr">
        <is>
          <t>Bounty Revenue</t>
        </is>
      </c>
      <c r="I161" s="0" t="inlineStr">
        <is>
          <t>Pending Merge</t>
        </is>
      </c>
    </row>
    <row r="162">
      <c r="A162" s="24" t="n">
        <v>46267.70706375</v>
      </c>
      <c r="B162" s="0" t="inlineStr">
        <is>
          <t>TS-CIRCUIT-1042</t>
        </is>
      </c>
      <c r="C162" s="0" t="inlineStr">
        <is>
          <t>Algora / Stripe</t>
        </is>
      </c>
      <c r="D162" s="0" t="inlineStr">
        <is>
          <t>tscircuit (PR #1042: two-pin terminal stub routing tests in schematic solver)</t>
        </is>
      </c>
      <c r="E162" s="18" t="n">
        <v>150</v>
      </c>
      <c r="F162" s="18" t="n">
        <v>0</v>
      </c>
      <c r="G162" s="18" t="n">
        <v>150</v>
      </c>
      <c r="H162" s="0" t="inlineStr">
        <is>
          <t>Bounty Revenue</t>
        </is>
      </c>
      <c r="I162" s="0" t="inlineStr">
        <is>
          <t>Pending Merge</t>
        </is>
      </c>
    </row>
    <row r="163">
      <c r="A163" s="24" t="n">
        <v>46266</v>
      </c>
      <c r="B163" s="0" t="inlineStr">
        <is>
          <t>LILLY-186</t>
        </is>
      </c>
      <c r="C163" s="0" t="inlineStr">
        <is>
          <t>Stellar / Algora</t>
        </is>
      </c>
      <c r="D163" s="0" t="inlineStr">
        <is>
          <t>Lilly-Protocol/lily-frontend (PR #186: docs(adr): add ADR 0001 for route-scaffold architecture (#47))</t>
        </is>
      </c>
      <c r="E163" s="18" t="inlineStr">
        <is>
          <t>lily-frontend</t>
        </is>
      </c>
      <c r="F163" s="18" t="n">
        <v>75</v>
      </c>
      <c r="G163" s="18" t="n">
        <v>75</v>
      </c>
      <c r="H163" s="0" t="inlineStr">
        <is>
          <t>Bounty Revenue</t>
        </is>
      </c>
      <c r="I163" s="0" t="inlineStr">
        <is>
          <t>Merged / Settled</t>
        </is>
      </c>
    </row>
    <row r="164">
      <c r="A164" s="24" t="n">
        <v>46266</v>
      </c>
      <c r="B164" s="0" t="inlineStr">
        <is>
          <t>LILLY-187</t>
        </is>
      </c>
      <c r="C164" s="0" t="inlineStr">
        <is>
          <t>Stellar / Algora</t>
        </is>
      </c>
      <c r="D164" s="0" t="inlineStr">
        <is>
          <t>Lilly-Protocol/lily-frontend (PR #187: feat(observability): add instrumentation module with onRequestError hook (#111))</t>
        </is>
      </c>
      <c r="E164" s="18" t="inlineStr">
        <is>
          <t>lily-frontend</t>
        </is>
      </c>
      <c r="F164" s="18" t="n">
        <v>75</v>
      </c>
      <c r="G164" s="18" t="n">
        <v>75</v>
      </c>
      <c r="H164" s="0" t="inlineStr">
        <is>
          <t>Bounty Revenue</t>
        </is>
      </c>
      <c r="I164" s="0" t="inlineStr">
        <is>
          <t>Merged / Settled</t>
        </is>
      </c>
    </row>
    <row r="165">
      <c r="A165" s="24" t="n">
        <v>46266</v>
      </c>
      <c r="B165" s="0" t="inlineStr">
        <is>
          <t>LILLY-188</t>
        </is>
      </c>
      <c r="C165" s="0" t="inlineStr">
        <is>
          <t>Stellar / Algora</t>
        </is>
      </c>
      <c r="D165" s="0" t="inlineStr">
        <is>
          <t>Lilly-Protocol/lily-frontend (PR #188: feat(navigation): add responsive mobile navigation menu to SiteHeader (#118))</t>
        </is>
      </c>
      <c r="E165" s="18" t="inlineStr">
        <is>
          <t>lily-frontend</t>
        </is>
      </c>
      <c r="F165" s="18" t="n">
        <v>75</v>
      </c>
      <c r="G165" s="18" t="n">
        <v>75</v>
      </c>
      <c r="H165" s="0" t="inlineStr">
        <is>
          <t>Bounty Revenue</t>
        </is>
      </c>
      <c r="I165" s="0" t="inlineStr">
        <is>
          <t>Merged / Settled</t>
        </is>
      </c>
    </row>
    <row r="166">
      <c r="A166" s="24" t="n">
        <v>46266</v>
      </c>
      <c r="B166" s="0" t="inlineStr">
        <is>
          <t>LILLY-189</t>
        </is>
      </c>
      <c r="C166" s="0" t="inlineStr">
        <is>
          <t>Stellar / Algora</t>
        </is>
      </c>
      <c r="D166" s="0" t="inlineStr">
        <is>
          <t>Lilly-Protocol/lily-frontend (PR #189: feat(a11y): add active-route indication with aria-current to SiteHeader and SectionNav (#119))</t>
        </is>
      </c>
      <c r="E166" s="18" t="inlineStr">
        <is>
          <t>lily-frontend</t>
        </is>
      </c>
      <c r="F166" s="18" t="n">
        <v>75</v>
      </c>
      <c r="G166" s="18" t="n">
        <v>75</v>
      </c>
      <c r="H166" s="0" t="inlineStr">
        <is>
          <t>Bounty Revenue</t>
        </is>
      </c>
      <c r="I166" s="0" t="inlineStr">
        <is>
          <t>Merged / Settled</t>
        </is>
      </c>
    </row>
    <row r="167">
      <c r="A167" s="24" t="n">
        <v>46266</v>
      </c>
      <c r="B167" s="0" t="inlineStr">
        <is>
          <t>LILLY-191</t>
        </is>
      </c>
      <c r="C167" s="0" t="inlineStr">
        <is>
          <t>Stellar / Algora</t>
        </is>
      </c>
      <c r="D167" s="0" t="inlineStr">
        <is>
          <t>Lilly-Protocol/lily-frontend (PR #191: feat(design): add typography scale token set and refactor page-scaffold (#44))</t>
        </is>
      </c>
      <c r="E167" s="18" t="inlineStr">
        <is>
          <t>lily-frontend</t>
        </is>
      </c>
      <c r="F167" s="18" t="n">
        <v>75</v>
      </c>
      <c r="G167" s="18" t="n">
        <v>75</v>
      </c>
      <c r="H167" s="0" t="inlineStr">
        <is>
          <t>Bounty Revenue</t>
        </is>
      </c>
      <c r="I167" s="0" t="inlineStr">
        <is>
          <t>Merged / Settled</t>
        </is>
      </c>
    </row>
    <row r="168">
      <c r="A168" s="24" t="n">
        <v>46267.96223643518</v>
      </c>
      <c r="B168" s="0" t="inlineStr">
        <is>
          <t>PERMIFY-3131</t>
        </is>
      </c>
      <c r="C168" s="0" t="inlineStr">
        <is>
          <t>Algora / Stripe</t>
        </is>
      </c>
      <c r="D168" s="0" t="inlineStr">
        <is>
          <t>Permify (PR #3131: entity tuple validation regression tests)</t>
        </is>
      </c>
      <c r="E168" s="18" t="n">
        <v>250</v>
      </c>
      <c r="F168" s="18" t="n">
        <v>0</v>
      </c>
      <c r="G168" s="18" t="n">
        <v>250</v>
      </c>
      <c r="H168" s="0" t="inlineStr">
        <is>
          <t>Bounty Revenue</t>
        </is>
      </c>
      <c r="I168" s="0" t="inlineStr">
        <is>
          <t>Pending Merge</t>
        </is>
      </c>
    </row>
    <row r="169">
      <c r="A169" s="24" t="n">
        <v>46267.96232569445</v>
      </c>
      <c r="B169" s="0" t="inlineStr">
        <is>
          <t>CAP-SOFTWARE-2207</t>
        </is>
      </c>
      <c r="C169" s="0" t="inlineStr">
        <is>
          <t>Algora / Stripe</t>
        </is>
      </c>
      <c r="D169" s="0" t="inlineStr">
        <is>
          <t>CapSoftware (PR #2207: WebRTC session description tests in Chrome extension)</t>
        </is>
      </c>
      <c r="E169" s="18" t="n">
        <v>200</v>
      </c>
      <c r="F169" s="18" t="n">
        <v>0</v>
      </c>
      <c r="G169" s="18" t="n">
        <v>200</v>
      </c>
      <c r="H169" s="0" t="inlineStr">
        <is>
          <t>Bounty Revenue</t>
        </is>
      </c>
      <c r="I169" s="0" t="inlineStr">
        <is>
          <t>Closed (Unmerged)</t>
        </is>
      </c>
    </row>
    <row r="170">
      <c r="A170" s="24" t="n">
        <v>46267.96239030093</v>
      </c>
      <c r="B170" s="0" t="inlineStr">
        <is>
          <t>LILLY-STELLAR-326</t>
        </is>
      </c>
      <c r="C170" s="0" t="inlineStr">
        <is>
          <t>Stellar / Algora</t>
        </is>
      </c>
      <c r="D170" s="0" t="inlineStr">
        <is>
          <t>Lilly-Protocol (PR #326: Soroban access controller authorization tests)</t>
        </is>
      </c>
      <c r="E170" s="18" t="n">
        <v>250</v>
      </c>
      <c r="F170" s="18" t="n">
        <v>0</v>
      </c>
      <c r="G170" s="18" t="n">
        <v>250</v>
      </c>
      <c r="H170" s="0" t="inlineStr">
        <is>
          <t>Bounty Revenue</t>
        </is>
      </c>
      <c r="I170" s="0" t="inlineStr">
        <is>
          <t>Pending Merge</t>
        </is>
      </c>
    </row>
    <row r="171">
      <c r="A171" s="24" t="n">
        <v>46267.96247366898</v>
      </c>
      <c r="B171" s="0" t="inlineStr">
        <is>
          <t>PD-KATANA-1801</t>
        </is>
      </c>
      <c r="C171" s="0" t="inlineStr">
        <is>
          <t>Algora / Stripe</t>
        </is>
      </c>
      <c r="D171" s="0" t="inlineStr">
        <is>
          <t>ProjectDiscovery (PR #1801: robotstxt crawler boundary tests in katana)</t>
        </is>
      </c>
      <c r="E171" s="18" t="n">
        <v>200</v>
      </c>
      <c r="F171" s="18" t="n">
        <v>0</v>
      </c>
      <c r="G171" s="18" t="n">
        <v>200</v>
      </c>
      <c r="H171" s="0" t="inlineStr">
        <is>
          <t>Bounty Revenue</t>
        </is>
      </c>
      <c r="I171" s="0" t="inlineStr">
        <is>
          <t>Pending Merge</t>
        </is>
      </c>
    </row>
    <row r="172">
      <c r="A172" s="24" t="n">
        <v>46267.96260259259</v>
      </c>
      <c r="B172" s="0" t="inlineStr">
        <is>
          <t>TS-CIRCUIT-1049</t>
        </is>
      </c>
      <c r="C172" s="0" t="inlineStr">
        <is>
          <t>Algora / Stripe</t>
        </is>
      </c>
      <c r="D172" s="0" t="inlineStr">
        <is>
          <t>tscircuit (PR #1049: two-pin terminal stub routing tests in schematic solver)</t>
        </is>
      </c>
      <c r="E172" s="18" t="n">
        <v>150</v>
      </c>
      <c r="F172" s="18" t="n">
        <v>0</v>
      </c>
      <c r="G172" s="18" t="n">
        <v>150</v>
      </c>
      <c r="H172" s="0" t="inlineStr">
        <is>
          <t>Bounty Revenue</t>
        </is>
      </c>
      <c r="I172" s="0" t="inlineStr">
        <is>
          <t>Pending Merge</t>
        </is>
      </c>
    </row>
    <row r="173">
      <c r="A173" s="24" t="n">
        <v>46267.9669971875</v>
      </c>
      <c r="B173" s="0" t="inlineStr">
        <is>
          <t>PERMIFY-3132</t>
        </is>
      </c>
      <c r="C173" s="0" t="inlineStr">
        <is>
          <t>Algora / Stripe</t>
        </is>
      </c>
      <c r="D173" s="0" t="inlineStr">
        <is>
          <t>Permify (PR #3132: entity tuple validation regression tests)</t>
        </is>
      </c>
      <c r="E173" s="18" t="n">
        <v>250</v>
      </c>
      <c r="F173" s="18" t="n">
        <v>0</v>
      </c>
      <c r="G173" s="18" t="n">
        <v>250</v>
      </c>
      <c r="H173" s="0" t="inlineStr">
        <is>
          <t>Bounty Revenue</t>
        </is>
      </c>
      <c r="I173" s="0" t="inlineStr">
        <is>
          <t>Pending Merge</t>
        </is>
      </c>
    </row>
    <row r="174">
      <c r="A174" s="24" t="n">
        <v>46267.96707013889</v>
      </c>
      <c r="B174" s="0" t="inlineStr">
        <is>
          <t>CAP-SOFTWARE-2209</t>
        </is>
      </c>
      <c r="C174" s="0" t="inlineStr">
        <is>
          <t>Algora / Stripe</t>
        </is>
      </c>
      <c r="D174" s="0" t="inlineStr">
        <is>
          <t>CapSoftware (PR #2209: WebRTC session description tests in Chrome extension)</t>
        </is>
      </c>
      <c r="E174" s="18" t="n">
        <v>200</v>
      </c>
      <c r="F174" s="18" t="n">
        <v>0</v>
      </c>
      <c r="G174" s="18" t="n">
        <v>200</v>
      </c>
      <c r="H174" s="0" t="inlineStr">
        <is>
          <t>Bounty Revenue</t>
        </is>
      </c>
      <c r="I174" s="0" t="inlineStr">
        <is>
          <t>Closed (Unmerged)</t>
        </is>
      </c>
    </row>
    <row r="175">
      <c r="A175" s="24" t="n">
        <v>46267.96717945602</v>
      </c>
      <c r="B175" s="0" t="inlineStr">
        <is>
          <t>LILLY-STELLAR-327</t>
        </is>
      </c>
      <c r="C175" s="0" t="inlineStr">
        <is>
          <t>Stellar / Algora</t>
        </is>
      </c>
      <c r="D175" s="0" t="inlineStr">
        <is>
          <t>Lilly-Protocol (PR #327: Soroban access controller authorization tests)</t>
        </is>
      </c>
      <c r="E175" s="18" t="n">
        <v>250</v>
      </c>
      <c r="F175" s="18" t="n">
        <v>0</v>
      </c>
      <c r="G175" s="18" t="n">
        <v>250</v>
      </c>
      <c r="H175" s="0" t="inlineStr">
        <is>
          <t>Bounty Revenue</t>
        </is>
      </c>
      <c r="I175" s="0" t="inlineStr">
        <is>
          <t>Pending Merge</t>
        </is>
      </c>
    </row>
    <row r="176">
      <c r="A176" s="24" t="n">
        <v>46267.96730409722</v>
      </c>
      <c r="B176" s="0" t="inlineStr">
        <is>
          <t>PD-KATANA-1802</t>
        </is>
      </c>
      <c r="C176" s="0" t="inlineStr">
        <is>
          <t>Algora / Stripe</t>
        </is>
      </c>
      <c r="D176" s="0" t="inlineStr">
        <is>
          <t>ProjectDiscovery (PR #1802: robotstxt crawler boundary tests in katana)</t>
        </is>
      </c>
      <c r="E176" s="18" t="n">
        <v>200</v>
      </c>
      <c r="F176" s="18" t="n">
        <v>0</v>
      </c>
      <c r="G176" s="18" t="n">
        <v>200</v>
      </c>
      <c r="H176" s="0" t="inlineStr">
        <is>
          <t>Bounty Revenue</t>
        </is>
      </c>
      <c r="I176" s="0" t="inlineStr">
        <is>
          <t>Pending Merge</t>
        </is>
      </c>
    </row>
    <row r="177">
      <c r="A177" s="24" t="n">
        <v>46267.96742083333</v>
      </c>
      <c r="B177" s="0" t="inlineStr">
        <is>
          <t>TS-CIRCUIT-1051</t>
        </is>
      </c>
      <c r="C177" s="0" t="inlineStr">
        <is>
          <t>Algora / Stripe</t>
        </is>
      </c>
      <c r="D177" s="0" t="inlineStr">
        <is>
          <t>tscircuit (PR #1051: two-pin terminal stub routing tests in schematic solver)</t>
        </is>
      </c>
      <c r="E177" s="18" t="n">
        <v>150</v>
      </c>
      <c r="F177" s="18" t="n">
        <v>0</v>
      </c>
      <c r="G177" s="18" t="n">
        <v>150</v>
      </c>
      <c r="H177" s="0" t="inlineStr">
        <is>
          <t>Bounty Revenue</t>
        </is>
      </c>
      <c r="I177" s="0" t="inlineStr">
        <is>
          <t>Pending Merge</t>
        </is>
      </c>
    </row>
    <row r="178">
      <c r="A178" s="24" t="n">
        <v>46268.10445268518</v>
      </c>
      <c r="B178" s="0" t="inlineStr">
        <is>
          <t>PERMIFY-3133</t>
        </is>
      </c>
      <c r="C178" s="0" t="inlineStr">
        <is>
          <t>Algora / Stripe</t>
        </is>
      </c>
      <c r="D178" s="0" t="inlineStr">
        <is>
          <t>Permify (PR #3133: entity tuple validation regression tests)</t>
        </is>
      </c>
      <c r="E178" s="18" t="n">
        <v>250</v>
      </c>
      <c r="F178" s="18" t="n">
        <v>0</v>
      </c>
      <c r="G178" s="18" t="n">
        <v>250</v>
      </c>
      <c r="H178" s="0" t="inlineStr">
        <is>
          <t>Bounty Revenue</t>
        </is>
      </c>
      <c r="I178" s="0" t="inlineStr">
        <is>
          <t>Pending Merge</t>
        </is>
      </c>
    </row>
    <row r="179">
      <c r="A179" s="24" t="n">
        <v>46268.10452164352</v>
      </c>
      <c r="B179" s="0" t="inlineStr">
        <is>
          <t>CAP-SOFTWARE-2211</t>
        </is>
      </c>
      <c r="C179" s="0" t="inlineStr">
        <is>
          <t>Algora / Stripe</t>
        </is>
      </c>
      <c r="D179" s="0" t="inlineStr">
        <is>
          <t>CapSoftware (PR #2211: WebRTC session description tests in Chrome extension)</t>
        </is>
      </c>
      <c r="E179" s="18" t="n">
        <v>200</v>
      </c>
      <c r="F179" s="18" t="n">
        <v>0</v>
      </c>
      <c r="G179" s="18" t="n">
        <v>200</v>
      </c>
      <c r="H179" s="0" t="inlineStr">
        <is>
          <t>Bounty Revenue</t>
        </is>
      </c>
      <c r="I179" s="0" t="inlineStr">
        <is>
          <t>Closed (Unmerged)</t>
        </is>
      </c>
    </row>
    <row r="180">
      <c r="A180" s="24" t="n">
        <v>46268.10461475694</v>
      </c>
      <c r="B180" s="0" t="inlineStr">
        <is>
          <t>LILLY-STELLAR-331</t>
        </is>
      </c>
      <c r="C180" s="0" t="inlineStr">
        <is>
          <t>Stellar / Algora</t>
        </is>
      </c>
      <c r="D180" s="0" t="inlineStr">
        <is>
          <t>Lilly-Protocol (PR #331: Soroban access controller authorization tests)</t>
        </is>
      </c>
      <c r="E180" s="18" t="n">
        <v>250</v>
      </c>
      <c r="F180" s="18" t="n">
        <v>0</v>
      </c>
      <c r="G180" s="18" t="n">
        <v>250</v>
      </c>
      <c r="H180" s="0" t="inlineStr">
        <is>
          <t>Bounty Revenue</t>
        </is>
      </c>
      <c r="I180" s="0" t="inlineStr">
        <is>
          <t>Pending Merge</t>
        </is>
      </c>
    </row>
    <row r="181">
      <c r="A181" s="24" t="n">
        <v>46268.10470806713</v>
      </c>
      <c r="B181" s="0" t="inlineStr">
        <is>
          <t>PD-KATANA-1803</t>
        </is>
      </c>
      <c r="C181" s="0" t="inlineStr">
        <is>
          <t>Algora / Stripe</t>
        </is>
      </c>
      <c r="D181" s="0" t="inlineStr">
        <is>
          <t>ProjectDiscovery (PR #1803: robotstxt crawler boundary tests in katana)</t>
        </is>
      </c>
      <c r="E181" s="18" t="n">
        <v>200</v>
      </c>
      <c r="F181" s="18" t="n">
        <v>0</v>
      </c>
      <c r="G181" s="18" t="n">
        <v>200</v>
      </c>
      <c r="H181" s="0" t="inlineStr">
        <is>
          <t>Bounty Revenue</t>
        </is>
      </c>
      <c r="I181" s="0" t="inlineStr">
        <is>
          <t>Pending Merge</t>
        </is>
      </c>
    </row>
    <row r="182">
      <c r="A182" s="24" t="n">
        <v>46268.1047996875</v>
      </c>
      <c r="B182" s="0" t="inlineStr">
        <is>
          <t>TS-CIRCUIT-1055</t>
        </is>
      </c>
      <c r="C182" s="0" t="inlineStr">
        <is>
          <t>Algora / Stripe</t>
        </is>
      </c>
      <c r="D182" s="0" t="inlineStr">
        <is>
          <t>tscircuit (PR #1055: two-pin terminal stub routing tests in schematic solver)</t>
        </is>
      </c>
      <c r="E182" s="18" t="n">
        <v>150</v>
      </c>
      <c r="F182" s="18" t="n">
        <v>0</v>
      </c>
      <c r="G182" s="18" t="n">
        <v>150</v>
      </c>
      <c r="H182" s="0" t="inlineStr">
        <is>
          <t>Bounty Revenue</t>
        </is>
      </c>
      <c r="I182" s="0" t="inlineStr">
        <is>
          <t>Pending Merge</t>
        </is>
      </c>
    </row>
    <row r="183">
      <c r="A183" s="24" t="n">
        <v>46268.45833265047</v>
      </c>
      <c r="B183" s="0" t="inlineStr">
        <is>
          <t>PERMIFY-3134</t>
        </is>
      </c>
      <c r="C183" s="0" t="inlineStr">
        <is>
          <t>Algora / Stripe</t>
        </is>
      </c>
      <c r="D183" s="0" t="inlineStr">
        <is>
          <t>Permify (PR #3134: entity tuple validation regression tests)</t>
        </is>
      </c>
      <c r="E183" s="18" t="n">
        <v>250</v>
      </c>
      <c r="F183" s="18" t="n">
        <v>0</v>
      </c>
      <c r="G183" s="18" t="n">
        <v>250</v>
      </c>
      <c r="H183" s="0" t="inlineStr">
        <is>
          <t>Bounty Revenue</t>
        </is>
      </c>
      <c r="I183" s="0" t="inlineStr">
        <is>
          <t>Pending Merge</t>
        </is>
      </c>
    </row>
    <row r="184">
      <c r="A184" s="24" t="n">
        <v>46268.45833265047</v>
      </c>
      <c r="B184" s="0" t="inlineStr">
        <is>
          <t>PD-SUB-1851</t>
        </is>
      </c>
      <c r="C184" s="0" t="inlineStr">
        <is>
          <t>Algora / Stripe</t>
        </is>
      </c>
      <c r="D184" s="0" t="inlineStr">
        <is>
          <t>ProjectDiscovery (PR #1851: subdomain extraction boundary tests in subfinder)</t>
        </is>
      </c>
      <c r="E184" s="18" t="n">
        <v>200</v>
      </c>
      <c r="F184" s="18" t="n">
        <v>0</v>
      </c>
      <c r="G184" s="18" t="n">
        <v>200</v>
      </c>
      <c r="H184" s="0" t="inlineStr">
        <is>
          <t>Bounty Revenue</t>
        </is>
      </c>
      <c r="I184" s="0" t="inlineStr">
        <is>
          <t>Pending Merge</t>
        </is>
      </c>
    </row>
    <row r="185">
      <c r="A185" s="24" t="n">
        <v>46268.45833265047</v>
      </c>
      <c r="B185" s="0" t="inlineStr">
        <is>
          <t>PD-KATANA-1804</t>
        </is>
      </c>
      <c r="C185" s="0" t="inlineStr">
        <is>
          <t>Algora / Stripe</t>
        </is>
      </c>
      <c r="D185" s="0" t="inlineStr">
        <is>
          <t>ProjectDiscovery (PR #1804: robotstxt crawler boundary tests in katana)</t>
        </is>
      </c>
      <c r="E185" s="18" t="n">
        <v>200</v>
      </c>
      <c r="F185" s="18" t="n">
        <v>0</v>
      </c>
      <c r="G185" s="18" t="n">
        <v>200</v>
      </c>
      <c r="H185" s="0" t="inlineStr">
        <is>
          <t>Bounty Revenue</t>
        </is>
      </c>
      <c r="I185" s="0" t="inlineStr">
        <is>
          <t>Pending Merge</t>
        </is>
      </c>
    </row>
    <row r="186">
      <c r="A186" s="24" t="n">
        <v>46268.45833265047</v>
      </c>
      <c r="B186" s="0" t="inlineStr">
        <is>
          <t>LILLY-STELLAR-336</t>
        </is>
      </c>
      <c r="C186" s="0" t="inlineStr">
        <is>
          <t>Stellar / Algora</t>
        </is>
      </c>
      <c r="D186" s="0" t="inlineStr">
        <is>
          <t>Lilly-Protocol (PR #336: Soroban access controller authorization tests)</t>
        </is>
      </c>
      <c r="E186" s="18" t="n">
        <v>250</v>
      </c>
      <c r="F186" s="18" t="n">
        <v>0</v>
      </c>
      <c r="G186" s="18" t="n">
        <v>250</v>
      </c>
      <c r="H186" s="0" t="inlineStr">
        <is>
          <t>Bounty Revenue</t>
        </is>
      </c>
      <c r="I186" s="0" t="inlineStr">
        <is>
          <t>Pending Merge</t>
        </is>
      </c>
    </row>
    <row r="187">
      <c r="A187" s="24" t="n">
        <v>46268.45833265047</v>
      </c>
      <c r="B187" s="0" t="inlineStr">
        <is>
          <t>TS-CIRCUIT-1057</t>
        </is>
      </c>
      <c r="C187" s="0" t="inlineStr">
        <is>
          <t>Algora / Stripe</t>
        </is>
      </c>
      <c r="D187" s="0" t="inlineStr">
        <is>
          <t>tscircuit (PR #1057: two-pin terminal stub routing tests in schematic solver)</t>
        </is>
      </c>
      <c r="E187" s="18" t="n">
        <v>150</v>
      </c>
      <c r="F187" s="18" t="n">
        <v>0</v>
      </c>
      <c r="G187" s="18" t="n">
        <v>150</v>
      </c>
      <c r="H187" s="0" t="inlineStr">
        <is>
          <t>Bounty Revenue</t>
        </is>
      </c>
      <c r="I187" s="0" t="inlineStr">
        <is>
          <t>Pending Merge</t>
        </is>
      </c>
    </row>
    <row r="188">
      <c r="A188" s="24" t="n">
        <v>46268.46784972222</v>
      </c>
      <c r="B188" s="0" t="inlineStr">
        <is>
          <t>PERMIFY-3135</t>
        </is>
      </c>
      <c r="C188" s="0" t="inlineStr">
        <is>
          <t>Algora / Stripe</t>
        </is>
      </c>
      <c r="D188" s="0" t="inlineStr">
        <is>
          <t>Permify (PR #3135: entity tuple validation regression tests)</t>
        </is>
      </c>
      <c r="E188" s="18" t="n">
        <v>250</v>
      </c>
      <c r="F188" s="18" t="n">
        <v>0</v>
      </c>
      <c r="G188" s="18" t="n">
        <v>250</v>
      </c>
      <c r="H188" s="0" t="inlineStr">
        <is>
          <t>Bounty Revenue</t>
        </is>
      </c>
      <c r="I188" s="0" t="inlineStr">
        <is>
          <t>Pending Merge</t>
        </is>
      </c>
    </row>
    <row r="189">
      <c r="A189" s="24" t="n">
        <v>46268.46784972222</v>
      </c>
      <c r="B189" s="0" t="inlineStr">
        <is>
          <t>PD-SUB-1852</t>
        </is>
      </c>
      <c r="C189" s="0" t="inlineStr">
        <is>
          <t>Algora / Stripe</t>
        </is>
      </c>
      <c r="D189" s="0" t="inlineStr">
        <is>
          <t>ProjectDiscovery (PR #1852: subdomain extraction boundary tests in subfinder)</t>
        </is>
      </c>
      <c r="E189" s="18" t="n">
        <v>200</v>
      </c>
      <c r="F189" s="18" t="n">
        <v>0</v>
      </c>
      <c r="G189" s="18" t="n">
        <v>200</v>
      </c>
      <c r="H189" s="0" t="inlineStr">
        <is>
          <t>Bounty Revenue</t>
        </is>
      </c>
      <c r="I189" s="0" t="inlineStr">
        <is>
          <t>Pending Merge</t>
        </is>
      </c>
    </row>
    <row r="190">
      <c r="A190" s="24" t="n">
        <v>46268.46784972222</v>
      </c>
      <c r="B190" s="0" t="inlineStr">
        <is>
          <t>PD-KATANA-1805</t>
        </is>
      </c>
      <c r="C190" s="0" t="inlineStr">
        <is>
          <t>Algora / Stripe</t>
        </is>
      </c>
      <c r="D190" s="0" t="inlineStr">
        <is>
          <t>ProjectDiscovery (PR #1805: robotstxt crawler boundary tests in katana)</t>
        </is>
      </c>
      <c r="E190" s="18" t="n">
        <v>200</v>
      </c>
      <c r="F190" s="18" t="n">
        <v>0</v>
      </c>
      <c r="G190" s="18" t="n">
        <v>200</v>
      </c>
      <c r="H190" s="0" t="inlineStr">
        <is>
          <t>Bounty Revenue</t>
        </is>
      </c>
      <c r="I190" s="0" t="inlineStr">
        <is>
          <t>Pending Merge</t>
        </is>
      </c>
    </row>
    <row r="191">
      <c r="A191" s="24" t="n">
        <v>46268.46784972222</v>
      </c>
      <c r="B191" s="0" t="inlineStr">
        <is>
          <t>LILLY-STELLAR-338</t>
        </is>
      </c>
      <c r="C191" s="0" t="inlineStr">
        <is>
          <t>Stellar / Algora</t>
        </is>
      </c>
      <c r="D191" s="0" t="inlineStr">
        <is>
          <t>Lilly-Protocol (PR #338: Soroban access controller authorization tests)</t>
        </is>
      </c>
      <c r="E191" s="18" t="n">
        <v>250</v>
      </c>
      <c r="F191" s="18" t="n">
        <v>0</v>
      </c>
      <c r="G191" s="18" t="n">
        <v>250</v>
      </c>
      <c r="H191" s="0" t="inlineStr">
        <is>
          <t>Bounty Revenue</t>
        </is>
      </c>
      <c r="I191" s="0" t="inlineStr">
        <is>
          <t>Pending Merge</t>
        </is>
      </c>
    </row>
    <row r="192">
      <c r="A192" s="24" t="n">
        <v>46268.46784972222</v>
      </c>
      <c r="B192" s="0" t="inlineStr">
        <is>
          <t>TS-CIRCUIT-1058</t>
        </is>
      </c>
      <c r="C192" s="0" t="inlineStr">
        <is>
          <t>Algora / Stripe</t>
        </is>
      </c>
      <c r="D192" s="0" t="inlineStr">
        <is>
          <t>tscircuit (PR #1058: two-pin terminal stub routing tests in schematic solver)</t>
        </is>
      </c>
      <c r="E192" s="18" t="n">
        <v>150</v>
      </c>
      <c r="F192" s="18" t="n">
        <v>0</v>
      </c>
      <c r="G192" s="18" t="n">
        <v>150</v>
      </c>
      <c r="H192" s="0" t="inlineStr">
        <is>
          <t>Bounty Revenue</t>
        </is>
      </c>
      <c r="I192" s="0" t="inlineStr">
        <is>
          <t>Pending Merge</t>
        </is>
      </c>
    </row>
    <row r="193">
      <c r="A193" s="24" t="n">
        <v>46268.47326914352</v>
      </c>
      <c r="B193" s="0" t="inlineStr">
        <is>
          <t>PERMIFY-3136</t>
        </is>
      </c>
      <c r="C193" s="0" t="inlineStr">
        <is>
          <t>Algora / Stripe</t>
        </is>
      </c>
      <c r="D193" s="0" t="inlineStr">
        <is>
          <t>Permify (PR #3136: entity tuple validation regression tests)</t>
        </is>
      </c>
      <c r="E193" s="18" t="n">
        <v>250</v>
      </c>
      <c r="F193" s="18" t="n">
        <v>0</v>
      </c>
      <c r="G193" s="18" t="n">
        <v>250</v>
      </c>
      <c r="H193" s="0" t="inlineStr">
        <is>
          <t>Bounty Revenue</t>
        </is>
      </c>
      <c r="I193" s="0" t="inlineStr">
        <is>
          <t>Pending Merge</t>
        </is>
      </c>
    </row>
    <row r="194">
      <c r="A194" s="24" t="n">
        <v>46268.47326914352</v>
      </c>
      <c r="B194" s="0" t="inlineStr">
        <is>
          <t>PD-SUB-1853</t>
        </is>
      </c>
      <c r="C194" s="0" t="inlineStr">
        <is>
          <t>Algora / Stripe</t>
        </is>
      </c>
      <c r="D194" s="0" t="inlineStr">
        <is>
          <t>ProjectDiscovery (PR #1853: subdomain extraction boundary tests in subfinder)</t>
        </is>
      </c>
      <c r="E194" s="18" t="n">
        <v>200</v>
      </c>
      <c r="F194" s="18" t="n">
        <v>0</v>
      </c>
      <c r="G194" s="18" t="n">
        <v>200</v>
      </c>
      <c r="H194" s="0" t="inlineStr">
        <is>
          <t>Bounty Revenue</t>
        </is>
      </c>
      <c r="I194" s="0" t="inlineStr">
        <is>
          <t>Pending Merge</t>
        </is>
      </c>
    </row>
    <row r="195">
      <c r="A195" s="24" t="n">
        <v>46268.47326914352</v>
      </c>
      <c r="B195" s="0" t="inlineStr">
        <is>
          <t>PD-KATANA-1806</t>
        </is>
      </c>
      <c r="C195" s="0" t="inlineStr">
        <is>
          <t>Algora / Stripe</t>
        </is>
      </c>
      <c r="D195" s="0" t="inlineStr">
        <is>
          <t>ProjectDiscovery (PR #1806: robotstxt crawler boundary tests in katana)</t>
        </is>
      </c>
      <c r="E195" s="18" t="n">
        <v>200</v>
      </c>
      <c r="F195" s="18" t="n">
        <v>0</v>
      </c>
      <c r="G195" s="18" t="n">
        <v>200</v>
      </c>
      <c r="H195" s="0" t="inlineStr">
        <is>
          <t>Bounty Revenue</t>
        </is>
      </c>
      <c r="I195" s="0" t="inlineStr">
        <is>
          <t>Pending Merge</t>
        </is>
      </c>
    </row>
    <row r="196">
      <c r="A196" s="24" t="n">
        <v>46268.47326914352</v>
      </c>
      <c r="B196" s="0" t="inlineStr">
        <is>
          <t>LILLY-STELLAR-339</t>
        </is>
      </c>
      <c r="C196" s="0" t="inlineStr">
        <is>
          <t>Stellar / Algora</t>
        </is>
      </c>
      <c r="D196" s="0" t="inlineStr">
        <is>
          <t>Lilly-Protocol (PR #339: Soroban access controller authorization tests)</t>
        </is>
      </c>
      <c r="E196" s="18" t="n">
        <v>250</v>
      </c>
      <c r="F196" s="18" t="n">
        <v>0</v>
      </c>
      <c r="G196" s="18" t="n">
        <v>250</v>
      </c>
      <c r="H196" s="0" t="inlineStr">
        <is>
          <t>Bounty Revenue</t>
        </is>
      </c>
      <c r="I196" s="0" t="inlineStr">
        <is>
          <t>Pending Merge</t>
        </is>
      </c>
    </row>
    <row r="197">
      <c r="A197" s="24" t="n">
        <v>46268.47326914352</v>
      </c>
      <c r="B197" s="0" t="inlineStr">
        <is>
          <t>TS-CIRCUIT-1059</t>
        </is>
      </c>
      <c r="C197" s="0" t="inlineStr">
        <is>
          <t>Algora / Stripe</t>
        </is>
      </c>
      <c r="D197" s="0" t="inlineStr">
        <is>
          <t>tscircuit (PR #1059: two-pin terminal stub routing tests in schematic solver)</t>
        </is>
      </c>
      <c r="E197" s="18" t="n">
        <v>150</v>
      </c>
      <c r="F197" s="18" t="n">
        <v>0</v>
      </c>
      <c r="G197" s="18" t="n">
        <v>150</v>
      </c>
      <c r="H197" s="0" t="inlineStr">
        <is>
          <t>Bounty Revenue</t>
        </is>
      </c>
      <c r="I197" s="0" t="inlineStr">
        <is>
          <t>Pending Merge</t>
        </is>
      </c>
    </row>
    <row r="198">
      <c r="A198" s="24" t="n">
        <v>46268.48234512731</v>
      </c>
      <c r="B198" s="0" t="inlineStr">
        <is>
          <t>PD-DNSX-1027</t>
        </is>
      </c>
      <c r="C198" s="0" t="inlineStr">
        <is>
          <t>Algora / Stripe</t>
        </is>
      </c>
      <c r="D198" s="0" t="inlineStr">
        <is>
          <t>ProjectDiscovery (PR #1027: wildcard domain normalization and stream filter tests in dnsx)</t>
        </is>
      </c>
      <c r="E198" s="18" t="n">
        <v>200</v>
      </c>
      <c r="F198" s="18" t="n">
        <v>0</v>
      </c>
      <c r="G198" s="18" t="n">
        <v>200</v>
      </c>
      <c r="H198" s="0" t="inlineStr">
        <is>
          <t>Bounty Revenue</t>
        </is>
      </c>
      <c r="I198" s="0" t="inlineStr">
        <is>
          <t>Pending Merge</t>
        </is>
      </c>
    </row>
    <row r="199">
      <c r="A199" s="24" t="n">
        <v>46268.48234512731</v>
      </c>
      <c r="B199" s="0" t="inlineStr">
        <is>
          <t>PD-HTTPX-2578</t>
        </is>
      </c>
      <c r="C199" s="0" t="inlineStr">
        <is>
          <t>Algora / Stripe</t>
        </is>
      </c>
      <c r="D199" s="0" t="inlineStr">
        <is>
          <t>ProjectDiscovery (PR #2578: cookie parser edge cases and token boundary tests in httpx)</t>
        </is>
      </c>
      <c r="E199" s="18" t="n">
        <v>200</v>
      </c>
      <c r="F199" s="18" t="n">
        <v>0</v>
      </c>
      <c r="G199" s="18" t="n">
        <v>200</v>
      </c>
      <c r="H199" s="0" t="inlineStr">
        <is>
          <t>Bounty Revenue</t>
        </is>
      </c>
      <c r="I199" s="0" t="inlineStr">
        <is>
          <t>Pending Merge</t>
        </is>
      </c>
    </row>
    <row r="200">
      <c r="A200" s="24" t="n">
        <v>46268.48234512731</v>
      </c>
      <c r="B200" s="0" t="inlineStr">
        <is>
          <t>TS-CORE-3629</t>
        </is>
      </c>
      <c r="C200" s="0" t="inlineStr">
        <is>
          <t>Algora / Stripe</t>
        </is>
      </c>
      <c r="D200" s="0" t="inlineStr">
        <is>
          <t>tscircuit (PR #3629: createElement circuit component assertions in core)</t>
        </is>
      </c>
      <c r="E200" s="18" t="n">
        <v>200</v>
      </c>
      <c r="F200" s="18" t="n">
        <v>0</v>
      </c>
      <c r="G200" s="18" t="n">
        <v>200</v>
      </c>
      <c r="H200" s="0" t="inlineStr">
        <is>
          <t>Bounty Revenue</t>
        </is>
      </c>
      <c r="I200" s="0" t="inlineStr">
        <is>
          <t>Pending Merge</t>
        </is>
      </c>
    </row>
    <row r="201">
      <c r="A201" s="24" t="n">
        <v>46268.48234512731</v>
      </c>
      <c r="B201" s="0" t="inlineStr">
        <is>
          <t>PERMIFY-3137</t>
        </is>
      </c>
      <c r="C201" s="0" t="inlineStr">
        <is>
          <t>Algora / Stripe</t>
        </is>
      </c>
      <c r="D201" s="0" t="inlineStr">
        <is>
          <t>Permify (PR #3137: entity tuple validation regression tests)</t>
        </is>
      </c>
      <c r="E201" s="18" t="n">
        <v>250</v>
      </c>
      <c r="F201" s="18" t="n">
        <v>0</v>
      </c>
      <c r="G201" s="18" t="n">
        <v>250</v>
      </c>
      <c r="H201" s="0" t="inlineStr">
        <is>
          <t>Bounty Revenue</t>
        </is>
      </c>
      <c r="I201" s="0" t="inlineStr">
        <is>
          <t>Pending Merge</t>
        </is>
      </c>
    </row>
    <row r="202">
      <c r="A202" s="24" t="n">
        <v>46268.48234512731</v>
      </c>
      <c r="B202" s="0" t="inlineStr">
        <is>
          <t>LILLY-STELLAR-340</t>
        </is>
      </c>
      <c r="C202" s="0" t="inlineStr">
        <is>
          <t>Stellar / Algora</t>
        </is>
      </c>
      <c r="D202" s="0" t="inlineStr">
        <is>
          <t>Lilly-Protocol (PR #340: Soroban access controller authorization tests)</t>
        </is>
      </c>
      <c r="E202" s="18" t="n">
        <v>250</v>
      </c>
      <c r="F202" s="18" t="n">
        <v>0</v>
      </c>
      <c r="G202" s="18" t="n">
        <v>250</v>
      </c>
      <c r="H202" s="0" t="inlineStr">
        <is>
          <t>Bounty Revenue</t>
        </is>
      </c>
      <c r="I202" s="0" t="inlineStr">
        <is>
          <t>Pending Merge</t>
        </is>
      </c>
    </row>
    <row r="203">
      <c r="A203" s="24" t="n">
        <v>46268.64268211806</v>
      </c>
      <c r="B203" s="0" t="inlineStr">
        <is>
          <t>PD-NUCLEI-7701</t>
        </is>
      </c>
      <c r="C203" s="0" t="inlineStr">
        <is>
          <t>Algora / Stripe</t>
        </is>
      </c>
      <c r="D203" s="0" t="inlineStr">
        <is>
          <t>ProjectDiscovery (PR #7701: standard request writer trace assertions in nuclei)</t>
        </is>
      </c>
      <c r="E203" s="18" t="n">
        <v>250</v>
      </c>
      <c r="F203" s="18" t="n">
        <v>0</v>
      </c>
      <c r="G203" s="18" t="n">
        <v>250</v>
      </c>
      <c r="H203" s="0" t="inlineStr">
        <is>
          <t>Bounty Revenue</t>
        </is>
      </c>
      <c r="I203" s="0" t="inlineStr">
        <is>
          <t>Pending Merge</t>
        </is>
      </c>
    </row>
    <row r="204">
      <c r="A204" s="24" t="n">
        <v>46268.64268211806</v>
      </c>
      <c r="B204" s="0" t="inlineStr">
        <is>
          <t>LILLY-FRONTEND-540</t>
        </is>
      </c>
      <c r="C204" s="0" t="inlineStr">
        <is>
          <t>Stellar / Algora</t>
        </is>
      </c>
      <c r="D204" s="0" t="inlineStr">
        <is>
          <t>Lilly-Protocol (PR #540: route map and static sitemap assertions in lily-frontend)</t>
        </is>
      </c>
      <c r="E204" s="18" t="n">
        <v>200</v>
      </c>
      <c r="F204" s="18" t="n">
        <v>0</v>
      </c>
      <c r="G204" s="18" t="n">
        <v>200</v>
      </c>
      <c r="H204" s="0" t="inlineStr">
        <is>
          <t>Bounty Revenue</t>
        </is>
      </c>
      <c r="I204" s="0" t="inlineStr">
        <is>
          <t>Pending Merge</t>
        </is>
      </c>
    </row>
    <row r="205">
      <c r="A205" s="24" t="n">
        <v>46268.64268211806</v>
      </c>
      <c r="B205" s="0" t="inlineStr">
        <is>
          <t>PD-DNSX-1028</t>
        </is>
      </c>
      <c r="C205" s="0" t="inlineStr">
        <is>
          <t>Algora / Stripe</t>
        </is>
      </c>
      <c r="D205" s="0" t="inlineStr">
        <is>
          <t>ProjectDiscovery (PR #1028: template field mapping and output formatting tests in dnsx)</t>
        </is>
      </c>
      <c r="E205" s="18" t="n">
        <v>200</v>
      </c>
      <c r="F205" s="18" t="n">
        <v>0</v>
      </c>
      <c r="G205" s="18" t="n">
        <v>200</v>
      </c>
      <c r="H205" s="0" t="inlineStr">
        <is>
          <t>Bounty Revenue</t>
        </is>
      </c>
      <c r="I205" s="0" t="inlineStr">
        <is>
          <t>Pending Merge</t>
        </is>
      </c>
    </row>
    <row r="206">
      <c r="A206" s="24" t="n">
        <v>46268.64268211806</v>
      </c>
      <c r="B206" s="0" t="inlineStr">
        <is>
          <t>PD-HTTPX-2579</t>
        </is>
      </c>
      <c r="C206" s="0" t="inlineStr">
        <is>
          <t>Algora / Stripe</t>
        </is>
      </c>
      <c r="D206" s="0" t="inlineStr">
        <is>
          <t>ProjectDiscovery (PR #2579: cookie parse delimiter assertions in httpx)</t>
        </is>
      </c>
      <c r="E206" s="18" t="n">
        <v>200</v>
      </c>
      <c r="F206" s="18" t="n">
        <v>0</v>
      </c>
      <c r="G206" s="18" t="n">
        <v>200</v>
      </c>
      <c r="H206" s="0" t="inlineStr">
        <is>
          <t>Bounty Revenue</t>
        </is>
      </c>
      <c r="I206" s="0" t="inlineStr">
        <is>
          <t>Pending Merge</t>
        </is>
      </c>
    </row>
    <row r="207">
      <c r="A207" s="24" t="n">
        <v>46268.64268211806</v>
      </c>
      <c r="B207" s="0" t="inlineStr">
        <is>
          <t>TS-CORE-3631</t>
        </is>
      </c>
      <c r="C207" s="0" t="inlineStr">
        <is>
          <t>Algora / Stripe</t>
        </is>
      </c>
      <c r="D207" s="0" t="inlineStr">
        <is>
          <t>tscircuit (PR #3631: createElement JSX runtime assertions in core)</t>
        </is>
      </c>
      <c r="E207" s="18" t="n">
        <v>200</v>
      </c>
      <c r="F207" s="18" t="n">
        <v>0</v>
      </c>
      <c r="G207" s="18" t="n">
        <v>200</v>
      </c>
      <c r="H207" s="0" t="inlineStr">
        <is>
          <t>Bounty Revenue</t>
        </is>
      </c>
      <c r="I207" s="0" t="inlineStr">
        <is>
          <t>Pending Merge</t>
        </is>
      </c>
    </row>
    <row r="208">
      <c r="A208" s="24" t="n">
        <v>46268.66289142361</v>
      </c>
      <c r="B208" s="0" t="inlineStr">
        <is>
          <t>PD-NUCLEI-7702</t>
        </is>
      </c>
      <c r="C208" s="0" t="inlineStr">
        <is>
          <t>Algora / Stripe</t>
        </is>
      </c>
      <c r="D208" s="0" t="inlineStr">
        <is>
          <t>ProjectDiscovery (PR #7702: request writer error trace formatting in nuclei)</t>
        </is>
      </c>
      <c r="E208" s="18" t="n">
        <v>250</v>
      </c>
      <c r="F208" s="18" t="n">
        <v>0</v>
      </c>
      <c r="G208" s="18" t="n">
        <v>250</v>
      </c>
      <c r="H208" s="0" t="inlineStr">
        <is>
          <t>Bounty Revenue</t>
        </is>
      </c>
      <c r="I208" s="0" t="inlineStr">
        <is>
          <t>Pending Merge</t>
        </is>
      </c>
    </row>
    <row r="209">
      <c r="A209" s="24" t="n">
        <v>46268.66289142361</v>
      </c>
      <c r="B209" s="0" t="inlineStr">
        <is>
          <t>PD-DNSX-1029</t>
        </is>
      </c>
      <c r="C209" s="0" t="inlineStr">
        <is>
          <t>Algora / Stripe</t>
        </is>
      </c>
      <c r="D209" s="0" t="inlineStr">
        <is>
          <t>ProjectDiscovery (PR #1029: stringify template value assertions in dnsx)</t>
        </is>
      </c>
      <c r="E209" s="18" t="n">
        <v>200</v>
      </c>
      <c r="F209" s="18" t="n">
        <v>0</v>
      </c>
      <c r="G209" s="18" t="n">
        <v>200</v>
      </c>
      <c r="H209" s="0" t="inlineStr">
        <is>
          <t>Bounty Revenue</t>
        </is>
      </c>
      <c r="I209" s="0" t="inlineStr">
        <is>
          <t>Pending Merge</t>
        </is>
      </c>
    </row>
    <row r="210">
      <c r="A210" s="24" t="n">
        <v>46268.66289142361</v>
      </c>
      <c r="B210" s="0" t="inlineStr">
        <is>
          <t>PD-HTTPX-2581</t>
        </is>
      </c>
      <c r="C210" s="0" t="inlineStr">
        <is>
          <t>Algora / Stripe</t>
        </is>
      </c>
      <c r="D210" s="0" t="inlineStr">
        <is>
          <t>ProjectDiscovery (PR #2581: secret validation edge case assertions in httpx)</t>
        </is>
      </c>
      <c r="E210" s="18" t="n">
        <v>200</v>
      </c>
      <c r="F210" s="18" t="n">
        <v>0</v>
      </c>
      <c r="G210" s="18" t="n">
        <v>200</v>
      </c>
      <c r="H210" s="0" t="inlineStr">
        <is>
          <t>Bounty Revenue</t>
        </is>
      </c>
      <c r="I210" s="0" t="inlineStr">
        <is>
          <t>Pending Merge</t>
        </is>
      </c>
    </row>
    <row r="211">
      <c r="A211" s="24" t="n">
        <v>46268.66289142361</v>
      </c>
      <c r="B211" s="0" t="inlineStr">
        <is>
          <t>TS-CORE-3632</t>
        </is>
      </c>
      <c r="C211" s="0" t="inlineStr">
        <is>
          <t>Algora / Stripe</t>
        </is>
      </c>
      <c r="D211" s="0" t="inlineStr">
        <is>
          <t>tscircuit (PR #3632: createElement JSX runtime assertion specs in core)</t>
        </is>
      </c>
      <c r="E211" s="18" t="n">
        <v>200</v>
      </c>
      <c r="F211" s="18" t="n">
        <v>0</v>
      </c>
      <c r="G211" s="18" t="n">
        <v>200</v>
      </c>
      <c r="H211" s="0" t="inlineStr">
        <is>
          <t>Bounty Revenue</t>
        </is>
      </c>
      <c r="I211" s="0" t="inlineStr">
        <is>
          <t>Pending Merge</t>
        </is>
      </c>
    </row>
    <row r="212">
      <c r="A212" s="24" t="n">
        <v>46268.66289142361</v>
      </c>
      <c r="B212" s="0" t="inlineStr">
        <is>
          <t>PD-SUBFINDER-1854</t>
        </is>
      </c>
      <c r="C212" s="0" t="inlineStr">
        <is>
          <t>Algora / Stripe</t>
        </is>
      </c>
      <c r="D212" s="0" t="inlineStr">
        <is>
          <t>ProjectDiscovery (PR #1854: response body capping assertions in subfinder)</t>
        </is>
      </c>
      <c r="E212" s="18" t="n">
        <v>200</v>
      </c>
      <c r="F212" s="18" t="n">
        <v>0</v>
      </c>
      <c r="G212" s="18" t="n">
        <v>200</v>
      </c>
      <c r="H212" s="0" t="inlineStr">
        <is>
          <t>Bounty Revenue</t>
        </is>
      </c>
      <c r="I212" s="0" t="inlineStr">
        <is>
          <t>Pending Merge</t>
        </is>
      </c>
    </row>
    <row r="213">
      <c r="A213" s="24" t="n">
        <v>46268.67079978009</v>
      </c>
      <c r="B213" s="0" t="inlineStr">
        <is>
          <t>PD-NUCLEI-7703</t>
        </is>
      </c>
      <c r="C213" s="0" t="inlineStr">
        <is>
          <t>Algora / Stripe</t>
        </is>
      </c>
      <c r="D213" s="0" t="inlineStr">
        <is>
          <t>ProjectDiscovery (PR #7703: output writer trace error wrapping in nuclei)</t>
        </is>
      </c>
      <c r="E213" s="18" t="n">
        <v>250</v>
      </c>
      <c r="F213" s="18" t="n">
        <v>0</v>
      </c>
      <c r="G213" s="18" t="n">
        <v>250</v>
      </c>
      <c r="H213" s="0" t="inlineStr">
        <is>
          <t>Bounty Revenue</t>
        </is>
      </c>
      <c r="I213" s="0" t="inlineStr">
        <is>
          <t>Pending Merge</t>
        </is>
      </c>
    </row>
    <row r="214">
      <c r="A214" s="24" t="n">
        <v>46268.67079978009</v>
      </c>
      <c r="B214" s="0" t="inlineStr">
        <is>
          <t>PD-DNSX-1030</t>
        </is>
      </c>
      <c r="C214" s="0" t="inlineStr">
        <is>
          <t>Algora / Stripe</t>
        </is>
      </c>
      <c r="D214" s="0" t="inlineStr">
        <is>
          <t>ProjectDiscovery (PR #1030: template field extraction specs in dnsx)</t>
        </is>
      </c>
      <c r="E214" s="18" t="n">
        <v>200</v>
      </c>
      <c r="F214" s="18" t="n">
        <v>0</v>
      </c>
      <c r="G214" s="18" t="n">
        <v>200</v>
      </c>
      <c r="H214" s="0" t="inlineStr">
        <is>
          <t>Bounty Revenue</t>
        </is>
      </c>
      <c r="I214" s="0" t="inlineStr">
        <is>
          <t>Pending Merge</t>
        </is>
      </c>
    </row>
    <row r="215">
      <c r="A215" s="24" t="n">
        <v>46268.67079978009</v>
      </c>
      <c r="B215" s="0" t="inlineStr">
        <is>
          <t>PD-HTTPX-2582</t>
        </is>
      </c>
      <c r="C215" s="0" t="inlineStr">
        <is>
          <t>Algora / Stripe</t>
        </is>
      </c>
      <c r="D215" s="0" t="inlineStr">
        <is>
          <t>ProjectDiscovery (PR #2582: basic auth strategy apply assertions in httpx)</t>
        </is>
      </c>
      <c r="E215" s="18" t="n">
        <v>200</v>
      </c>
      <c r="F215" s="18" t="n">
        <v>0</v>
      </c>
      <c r="G215" s="18" t="n">
        <v>200</v>
      </c>
      <c r="H215" s="0" t="inlineStr">
        <is>
          <t>Bounty Revenue</t>
        </is>
      </c>
      <c r="I215" s="0" t="inlineStr">
        <is>
          <t>Pending Merge</t>
        </is>
      </c>
    </row>
    <row r="216">
      <c r="A216" s="24" t="n">
        <v>46268.67079978009</v>
      </c>
      <c r="B216" s="0" t="inlineStr">
        <is>
          <t>TS-CORE-3633</t>
        </is>
      </c>
      <c r="C216" s="0" t="inlineStr">
        <is>
          <t>Algora / Stripe</t>
        </is>
      </c>
      <c r="D216" s="0" t="inlineStr">
        <is>
          <t>tscircuit (PR #3633: createElement jsx component dispatch in core)</t>
        </is>
      </c>
      <c r="E216" s="18" t="n">
        <v>200</v>
      </c>
      <c r="F216" s="18" t="n">
        <v>0</v>
      </c>
      <c r="G216" s="18" t="n">
        <v>200</v>
      </c>
      <c r="H216" s="0" t="inlineStr">
        <is>
          <t>Bounty Revenue</t>
        </is>
      </c>
      <c r="I216" s="0" t="inlineStr">
        <is>
          <t>Pending Merge</t>
        </is>
      </c>
    </row>
    <row r="217">
      <c r="A217" s="24" t="n">
        <v>46268.67079978009</v>
      </c>
      <c r="B217" s="0" t="inlineStr">
        <is>
          <t>LILLY-CONTRACTS-348</t>
        </is>
      </c>
      <c r="C217" s="0" t="inlineStr">
        <is>
          <t>Algora / Stripe</t>
        </is>
      </c>
      <c r="D217" s="0" t="inlineStr">
        <is>
          <t>Lilly-Protocol (PR #348: unregistered agent get profile assertion in lily-contracts)</t>
        </is>
      </c>
      <c r="E217" s="18" t="n">
        <v>250</v>
      </c>
      <c r="F217" s="18" t="n">
        <v>0</v>
      </c>
      <c r="G217" s="18" t="n">
        <v>250</v>
      </c>
      <c r="H217" s="0" t="inlineStr">
        <is>
          <t>Bounty Revenue</t>
        </is>
      </c>
      <c r="I217" s="0" t="inlineStr">
        <is>
          <t>Pending Merge</t>
        </is>
      </c>
    </row>
    <row r="218">
      <c r="A218" s="24" t="n">
        <v>46268</v>
      </c>
      <c r="B218" s="0" t="inlineStr">
        <is>
          <t>AP-101</t>
        </is>
      </c>
      <c r="C218" s="0" t="inlineStr">
        <is>
          <t>Algora / Stripe</t>
        </is>
      </c>
      <c r="D218" s="0" t="inlineStr">
        <is>
          <t>Activepieces activepieces (PR #14850: Exclude pnpm and yarn lockfiles in size check)</t>
        </is>
      </c>
      <c r="E218" s="18" t="n">
        <v>200</v>
      </c>
      <c r="F218" s="18" t="n">
        <v>0</v>
      </c>
      <c r="G218" s="18" t="n">
        <v>200</v>
      </c>
      <c r="H218" s="0" t="inlineStr">
        <is>
          <t>Bounty Revenue</t>
        </is>
      </c>
      <c r="I218" s="0" t="inlineStr">
        <is>
          <t>In Review</t>
        </is>
      </c>
    </row>
    <row r="219">
      <c r="A219" s="24" t="n">
        <v>46268</v>
      </c>
      <c r="B219" s="0" t="inlineStr">
        <is>
          <t>TW-003</t>
        </is>
      </c>
      <c r="C219" s="0" t="inlineStr">
        <is>
          <t>Algora / Stripe</t>
        </is>
      </c>
      <c r="D219" s="0" t="inlineStr">
        <is>
          <t>Twenty CRM twenty (PR #11280: Support numeric and boolean arrays in formatSqlValue)</t>
        </is>
      </c>
      <c r="E219" s="18" t="n">
        <v>200</v>
      </c>
      <c r="F219" s="18" t="n">
        <v>0</v>
      </c>
      <c r="G219" s="18" t="n">
        <v>200</v>
      </c>
      <c r="H219" s="0" t="inlineStr">
        <is>
          <t>Bounty Revenue</t>
        </is>
      </c>
      <c r="I219" s="0" t="inlineStr">
        <is>
          <t>In Review</t>
        </is>
      </c>
    </row>
    <row r="220">
      <c r="A220" s="24" t="n">
        <v>46268</v>
      </c>
      <c r="B220" s="0" t="inlineStr">
        <is>
          <t>CAL-002</t>
        </is>
      </c>
      <c r="C220" s="0" t="inlineStr">
        <is>
          <t>Algora / Stripe</t>
        </is>
      </c>
      <c r="D220" s="0" t="inlineStr">
        <is>
          <t>Cal.com cal.com (PR #17420: Slugify display input and multi-delimiter handling)</t>
        </is>
      </c>
      <c r="E220" s="18" t="n">
        <v>200</v>
      </c>
      <c r="F220" s="18" t="n">
        <v>0</v>
      </c>
      <c r="G220" s="18" t="n">
        <v>200</v>
      </c>
      <c r="H220" s="0" t="inlineStr">
        <is>
          <t>Bounty Revenue</t>
        </is>
      </c>
      <c r="I220" s="0" t="inlineStr">
        <is>
          <t>In Review</t>
        </is>
      </c>
    </row>
    <row r="221">
      <c r="A221" s="24" t="n">
        <v>46268</v>
      </c>
      <c r="B221" s="0" t="inlineStr">
        <is>
          <t>PD-9301</t>
        </is>
      </c>
      <c r="C221" s="0" t="inlineStr">
        <is>
          <t>Algora / Stripe</t>
        </is>
      </c>
      <c r="D221" s="0" t="inlineStr">
        <is>
          <t>ProjectDiscovery nuclei (PR #6540: Add GetAllValues snapshot method for engine metrics)</t>
        </is>
      </c>
      <c r="E221" s="18" t="n">
        <v>200</v>
      </c>
      <c r="F221" s="18" t="n">
        <v>0</v>
      </c>
      <c r="G221" s="18" t="n">
        <v>200</v>
      </c>
      <c r="H221" s="0" t="inlineStr">
        <is>
          <t>Bounty Revenue</t>
        </is>
      </c>
      <c r="I221" s="0" t="inlineStr">
        <is>
          <t>In Review</t>
        </is>
      </c>
    </row>
    <row r="222">
      <c r="A222" s="24" t="n">
        <v>46268</v>
      </c>
      <c r="B222" s="0" t="inlineStr">
        <is>
          <t>TSC-109</t>
        </is>
      </c>
      <c r="C222" s="0" t="inlineStr">
        <is>
          <t>Algora / Stripe</t>
        </is>
      </c>
      <c r="D222" s="0" t="inlineStr">
        <is>
          <t>TSCircuit core (PR #890: 4-way cross junction verification for same-net traces)</t>
        </is>
      </c>
      <c r="E222" s="18" t="n">
        <v>200</v>
      </c>
      <c r="F222" s="18" t="n">
        <v>0</v>
      </c>
      <c r="G222" s="18" t="n">
        <v>200</v>
      </c>
      <c r="H222" s="0" t="inlineStr">
        <is>
          <t>Bounty Revenue</t>
        </is>
      </c>
      <c r="I222" s="0" t="inlineStr">
        <is>
          <t>In Review</t>
        </is>
      </c>
    </row>
    <row r="223">
      <c r="A223" s="24" t="n">
        <v>46268</v>
      </c>
      <c r="B223" s="0" t="inlineStr">
        <is>
          <t>FORM-4812</t>
        </is>
      </c>
      <c r="C223" s="0" t="inlineStr">
        <is>
          <t>Algora / Stripe</t>
        </is>
      </c>
      <c r="D223" s="0" t="inlineStr">
        <is>
          <t>Formbricks formbricks (PR #4812: Survey response multi-select filter logic &amp; schema validation specs)</t>
        </is>
      </c>
      <c r="E223" s="18" t="n">
        <v>200</v>
      </c>
      <c r="F223" s="18" t="n">
        <v>0</v>
      </c>
      <c r="G223" s="18" t="n">
        <v>200</v>
      </c>
      <c r="H223" s="0" t="inlineStr">
        <is>
          <t>Bounty Revenue</t>
        </is>
      </c>
      <c r="I223" s="0" t="inlineStr">
        <is>
          <t>In Review</t>
        </is>
      </c>
    </row>
    <row r="224">
      <c r="A224" s="24" t="n">
        <v>46268</v>
      </c>
      <c r="B224" s="0" t="inlineStr">
        <is>
          <t>NOVU-7420</t>
        </is>
      </c>
      <c r="C224" s="0" t="inlineStr">
        <is>
          <t>Algora / Stripe</t>
        </is>
      </c>
      <c r="D224" s="0" t="inlineStr">
        <is>
          <t>Novu novu (PR #7420: Workflow delay step trigger boundary validation assertions)</t>
        </is>
      </c>
      <c r="E224" s="18" t="n">
        <v>200</v>
      </c>
      <c r="F224" s="18" t="n">
        <v>0</v>
      </c>
      <c r="G224" s="18" t="n">
        <v>200</v>
      </c>
      <c r="H224" s="0" t="inlineStr">
        <is>
          <t>Bounty Revenue</t>
        </is>
      </c>
      <c r="I224" s="0" t="inlineStr">
        <is>
          <t>In Review</t>
        </is>
      </c>
    </row>
    <row r="225">
      <c r="A225" s="24" t="n">
        <v>46268</v>
      </c>
      <c r="B225" s="0" t="inlineStr">
        <is>
          <t>INFIS-3910</t>
        </is>
      </c>
      <c r="C225" s="0" t="inlineStr">
        <is>
          <t>Algora / Stripe</t>
        </is>
      </c>
      <c r="D225" s="0" t="inlineStr">
        <is>
          <t>Infisical infisical (PR #3910: Secret environment resolution &amp; fallback error specs)</t>
        </is>
      </c>
      <c r="E225" s="18" t="n">
        <v>200</v>
      </c>
      <c r="F225" s="18" t="n">
        <v>0</v>
      </c>
      <c r="G225" s="18" t="n">
        <v>200</v>
      </c>
      <c r="H225" s="0" t="inlineStr">
        <is>
          <t>Bounty Revenue</t>
        </is>
      </c>
      <c r="I225" s="0" t="inlineStr">
        <is>
          <t>In Review</t>
        </is>
      </c>
    </row>
    <row r="226">
      <c r="A226" s="24" t="n">
        <v>46268</v>
      </c>
      <c r="B226" s="0" t="inlineStr">
        <is>
          <t>POST-29850</t>
        </is>
      </c>
      <c r="C226" s="0" t="inlineStr">
        <is>
          <t>Algora / Stripe</t>
        </is>
      </c>
      <c r="D226" s="0" t="inlineStr">
        <is>
          <t>PostHog posthog (PR #29850: Ingestion timestamp boundary normalization assertions)</t>
        </is>
      </c>
      <c r="E226" s="18" t="n">
        <v>200</v>
      </c>
      <c r="F226" s="18" t="n">
        <v>0</v>
      </c>
      <c r="G226" s="18" t="n">
        <v>200</v>
      </c>
      <c r="H226" s="0" t="inlineStr">
        <is>
          <t>Bounty Revenue</t>
        </is>
      </c>
      <c r="I226" s="0" t="inlineStr">
        <is>
          <t>In Review</t>
        </is>
      </c>
    </row>
    <row r="227">
      <c r="A227" s="24" t="n">
        <v>46268</v>
      </c>
      <c r="B227" s="0" t="inlineStr">
        <is>
          <t>CHAT-10840</t>
        </is>
      </c>
      <c r="C227" s="0" t="inlineStr">
        <is>
          <t>Algora / Stripe</t>
        </is>
      </c>
      <c r="D227" s="0" t="inlineStr">
        <is>
          <t>Chatwoot chatwoot (PR #10840: Conversation webhook dispatch retry &amp; timeout specifications)</t>
        </is>
      </c>
      <c r="E227" s="18" t="n">
        <v>200</v>
      </c>
      <c r="F227" s="18" t="n">
        <v>0</v>
      </c>
      <c r="G227" s="18" t="n">
        <v>200</v>
      </c>
      <c r="H227" s="0" t="inlineStr">
        <is>
          <t>Bounty Revenue</t>
        </is>
      </c>
      <c r="I227" s="0" t="inlineStr">
        <is>
          <t>In Review</t>
        </is>
      </c>
    </row>
    <row r="228">
      <c r="A228" s="24" t="n">
        <v>46270</v>
      </c>
      <c r="B228" s="0" t="inlineStr">
        <is>
          <t>TW-25449</t>
        </is>
      </c>
      <c r="C228" s="0" t="inlineStr">
        <is>
          <t>Bounty Contribution</t>
        </is>
      </c>
      <c r="D228" s="0" t="inlineStr">
        <is>
          <t>twentyhq/twenty (PR #25449: test(engine): add index definitions comparator edge validation suite)</t>
        </is>
      </c>
      <c r="E228" s="18" t="inlineStr">
        <is>
          <t>Operating Revenue</t>
        </is>
      </c>
      <c r="F228" s="18" t="n">
        <v>0</v>
      </c>
      <c r="G228" s="18" t="n">
        <v>250</v>
      </c>
      <c r="H228" s="0" t="inlineStr">
        <is>
          <t>Accounts Receivable</t>
        </is>
      </c>
      <c r="I228" s="0" t="inlineStr">
        <is>
          <t>Pending Merge</t>
        </is>
      </c>
    </row>
    <row r="229">
      <c r="A229" s="24" t="n">
        <v>46270</v>
      </c>
      <c r="B229" s="0" t="inlineStr">
        <is>
          <t>PD-KATANA-1808</t>
        </is>
      </c>
      <c r="C229" s="0" t="inlineStr">
        <is>
          <t>Bounty Contribution</t>
        </is>
      </c>
      <c r="D229" s="0" t="inlineStr">
        <is>
          <t>projectdiscovery/katana (PR #1808: test(output): add URL sanitization and whitespace boundary tests)</t>
        </is>
      </c>
      <c r="E229" s="18" t="inlineStr">
        <is>
          <t>Operating Revenue</t>
        </is>
      </c>
      <c r="F229" s="18" t="n">
        <v>0</v>
      </c>
      <c r="G229" s="18" t="n">
        <v>200</v>
      </c>
      <c r="H229" s="0" t="inlineStr">
        <is>
          <t>Accounts Receivable</t>
        </is>
      </c>
      <c r="I229" s="0" t="inlineStr">
        <is>
          <t>Pending Merge</t>
        </is>
      </c>
    </row>
    <row r="230">
      <c r="A230" s="24" t="n">
        <v>46270</v>
      </c>
      <c r="B230" s="0" t="inlineStr">
        <is>
          <t>KEEP-6761</t>
        </is>
      </c>
      <c r="C230" s="0" t="inlineStr">
        <is>
          <t>Bounty Contribution</t>
        </is>
      </c>
      <c r="D230" s="0" t="inlineStr">
        <is>
          <t>keephq/keep (PR #6761: test(providers): add provider configuration normalization unit tests)</t>
        </is>
      </c>
      <c r="E230" s="18" t="inlineStr">
        <is>
          <t>Operating Revenue</t>
        </is>
      </c>
      <c r="F230" s="18" t="n">
        <v>0</v>
      </c>
      <c r="G230" s="18" t="n">
        <v>200</v>
      </c>
      <c r="H230" s="0" t="inlineStr">
        <is>
          <t>Accounts Receivable</t>
        </is>
      </c>
      <c r="I230" s="0" t="inlineStr">
        <is>
          <t>Pending Merge</t>
        </is>
      </c>
    </row>
    <row r="231">
      <c r="A231" s="24" t="n">
        <v>46270</v>
      </c>
      <c r="B231" s="0" t="inlineStr">
        <is>
          <t>CAL-30097</t>
        </is>
      </c>
      <c r="C231" s="0" t="inlineStr">
        <is>
          <t>Bounty Contribution</t>
        </is>
      </c>
      <c r="D231" s="0" t="inlineStr">
        <is>
          <t>calcom/cal.diy (PR #30097: test(lib): add event slug coalescing and sanitization specs)</t>
        </is>
      </c>
      <c r="E231" s="18" t="inlineStr">
        <is>
          <t>Operating Revenue</t>
        </is>
      </c>
      <c r="F231" s="18" t="n">
        <v>0</v>
      </c>
      <c r="G231" s="18" t="n">
        <v>200</v>
      </c>
      <c r="H231" s="0" t="inlineStr">
        <is>
          <t>Accounts Receivable</t>
        </is>
      </c>
      <c r="I231" s="0" t="inlineStr">
        <is>
          <t>Pending Merge</t>
        </is>
      </c>
    </row>
    <row r="232">
      <c r="A232" s="24" t="n">
        <v>46270</v>
      </c>
      <c r="B232" s="0" t="inlineStr">
        <is>
          <t>PERMIFY-3138</t>
        </is>
      </c>
      <c r="C232" s="0" t="inlineStr">
        <is>
          <t>Bounty Contribution</t>
        </is>
      </c>
      <c r="D232" s="0" t="inlineStr">
        <is>
          <t>Permify/permify (PR #3138: test(validation): add entity tuple validation regression assertions)</t>
        </is>
      </c>
      <c r="E232" s="18" t="inlineStr">
        <is>
          <t>Operating Revenue</t>
        </is>
      </c>
      <c r="F232" s="18" t="n">
        <v>0</v>
      </c>
      <c r="G232" s="18" t="n">
        <v>250</v>
      </c>
      <c r="H232" s="0" t="inlineStr">
        <is>
          <t>Accounts Receivable</t>
        </is>
      </c>
      <c r="I232" s="0" t="inlineStr">
        <is>
          <t>Pending Merge</t>
        </is>
      </c>
    </row>
    <row r="233">
      <c r="A233" s="24" t="n">
        <v>46270</v>
      </c>
      <c r="B233" s="0" t="inlineStr">
        <is>
          <t>PD-DNSX-1031</t>
        </is>
      </c>
      <c r="C233" s="0" t="inlineStr">
        <is>
          <t>Opire / Stripe</t>
        </is>
      </c>
      <c r="D233" s="0" t="inlineStr">
        <is>
          <t>projectdiscovery/dnsx (PR #1031: test(dnsx): add hostname normalization and trailing dot boundary test suite)</t>
        </is>
      </c>
      <c r="E233" s="18" t="n">
        <v>200</v>
      </c>
      <c r="F233" s="18" t="n">
        <v>0</v>
      </c>
      <c r="G233" s="18" t="n">
        <v>200</v>
      </c>
      <c r="H233" s="0" t="inlineStr">
        <is>
          <t>Bounty Revenue</t>
        </is>
      </c>
      <c r="I233" s="0" t="inlineStr">
        <is>
          <t>Pending Merge</t>
        </is>
      </c>
    </row>
    <row r="234">
      <c r="A234" s="24" t="n">
        <v>46270</v>
      </c>
      <c r="B234" s="0" t="inlineStr">
        <is>
          <t>TSC-998</t>
        </is>
      </c>
      <c r="C234" s="0" t="inlineStr">
        <is>
          <t>Opire / Stripe</t>
        </is>
      </c>
      <c r="D234" s="0" t="inlineStr">
        <is>
          <t>tscircuit/schematic-trace-solver (PR #1065: test(solver): add net label clearance and route collision avoidance specs)</t>
        </is>
      </c>
      <c r="E234" s="18" t="n">
        <v>250</v>
      </c>
      <c r="F234" s="18" t="n">
        <v>0</v>
      </c>
      <c r="G234" s="18" t="n">
        <v>250</v>
      </c>
      <c r="H234" s="0" t="inlineStr">
        <is>
          <t>Bounty Revenue</t>
        </is>
      </c>
      <c r="I234" s="0" t="inlineStr">
        <is>
          <t>Pending Merge</t>
        </is>
      </c>
    </row>
    <row r="235">
      <c r="A235" s="24" t="n">
        <v>46270</v>
      </c>
      <c r="B235" s="0" t="inlineStr">
        <is>
          <t>KEEP-6762</t>
        </is>
      </c>
      <c r="C235" s="0" t="inlineStr">
        <is>
          <t>Opire / Stripe</t>
        </is>
      </c>
      <c r="D235" s="0" t="inlineStr">
        <is>
          <t>keephq/keep (PR #6762: test(rules): add alert severity threshold and rule parsing specs)</t>
        </is>
      </c>
      <c r="E235" s="18" t="n">
        <v>200</v>
      </c>
      <c r="F235" s="18" t="n">
        <v>0</v>
      </c>
      <c r="G235" s="18" t="n">
        <v>200</v>
      </c>
      <c r="H235" s="0" t="inlineStr">
        <is>
          <t>Bounty Revenue</t>
        </is>
      </c>
      <c r="I235" s="0" t="inlineStr">
        <is>
          <t>Pending Merge</t>
        </is>
      </c>
    </row>
    <row r="236">
      <c r="A236" s="24" t="n">
        <v>46270</v>
      </c>
      <c r="B236" s="0" t="inlineStr">
        <is>
          <t>TW-25450</t>
        </is>
      </c>
      <c r="C236" s="0" t="inlineStr">
        <is>
          <t>Opire / Stripe</t>
        </is>
      </c>
      <c r="D236" s="0" t="inlineStr">
        <is>
          <t>twentyhq/twenty (PR #25450: test(metadata): add workspace member role assignment boundary assertions)</t>
        </is>
      </c>
      <c r="E236" s="18" t="n">
        <v>250</v>
      </c>
      <c r="F236" s="18" t="n">
        <v>0</v>
      </c>
      <c r="G236" s="18" t="n">
        <v>250</v>
      </c>
      <c r="H236" s="0" t="inlineStr">
        <is>
          <t>Bounty Revenue</t>
        </is>
      </c>
      <c r="I236" s="0" t="inlineStr">
        <is>
          <t>Pending Merge</t>
        </is>
      </c>
    </row>
    <row r="237">
      <c r="A237" s="24" t="n">
        <v>46270</v>
      </c>
      <c r="B237" s="0" t="inlineStr">
        <is>
          <t>LILLY-349</t>
        </is>
      </c>
      <c r="C237" s="0" t="inlineStr">
        <is>
          <t>Opire / Stripe</t>
        </is>
      </c>
      <c r="D237" s="0" t="inlineStr">
        <is>
          <t>Lilly-Protocol/lily-contracts (PR #387: test(escrow): add milestone settlement and dispute timeout invariant specs)</t>
        </is>
      </c>
      <c r="E237" s="18" t="n">
        <v>250</v>
      </c>
      <c r="F237" s="18" t="n">
        <v>0</v>
      </c>
      <c r="G237" s="18" t="n">
        <v>250</v>
      </c>
      <c r="H237" s="0" t="inlineStr">
        <is>
          <t>Bounty Revenue</t>
        </is>
      </c>
      <c r="I237" s="0" t="inlineStr">
        <is>
          <t>Pending Merge</t>
        </is>
      </c>
    </row>
    <row r="238">
      <c r="E238" s="18" t="n"/>
      <c r="F238" s="18" t="n"/>
      <c r="G238" s="18" t="n"/>
    </row>
    <row r="239">
      <c r="E239" s="18" t="n"/>
      <c r="F239" s="18" t="n"/>
      <c r="G239" s="18" t="n"/>
    </row>
    <row r="240">
      <c r="E240" s="18" t="n"/>
      <c r="F240" s="18" t="n"/>
      <c r="G240" s="18" t="n"/>
    </row>
    <row r="241">
      <c r="E241" s="18" t="n"/>
      <c r="F241" s="18" t="n"/>
      <c r="G241" s="18" t="n"/>
    </row>
    <row r="242">
      <c r="E242" s="18" t="n"/>
      <c r="F242" s="18" t="n"/>
      <c r="G242" s="18" t="n"/>
    </row>
    <row r="243">
      <c r="E243" s="18" t="n"/>
      <c r="F243" s="18" t="n"/>
      <c r="G243" s="18" t="n"/>
    </row>
    <row r="244">
      <c r="E244" s="18" t="n"/>
      <c r="F244" s="18" t="n"/>
      <c r="G244" s="18" t="n"/>
    </row>
    <row r="245">
      <c r="E245" s="18" t="n"/>
      <c r="F245" s="18" t="n"/>
      <c r="G245" s="18" t="n"/>
    </row>
    <row r="246">
      <c r="E246" s="18" t="n"/>
      <c r="F246" s="18" t="n"/>
      <c r="G246" s="18" t="n"/>
    </row>
    <row r="247">
      <c r="E247" s="18" t="n"/>
      <c r="F247" s="18" t="n"/>
      <c r="G247" s="18" t="n"/>
    </row>
    <row r="248">
      <c r="E248" s="18" t="n"/>
      <c r="F248" s="18" t="n"/>
      <c r="G248" s="18" t="n"/>
    </row>
    <row r="249">
      <c r="E249" s="18" t="n"/>
      <c r="F249" s="18" t="n"/>
      <c r="G249" s="18" t="n"/>
    </row>
    <row r="250">
      <c r="E250" s="18" t="n"/>
      <c r="F250" s="18" t="n"/>
      <c r="G250" s="18" t="n"/>
    </row>
    <row r="251">
      <c r="E251" s="18" t="n"/>
      <c r="F251" s="18" t="n"/>
      <c r="G251" s="18" t="n"/>
    </row>
    <row r="252">
      <c r="E252" s="18" t="n"/>
      <c r="F252" s="18" t="n"/>
      <c r="G252" s="18" t="n"/>
    </row>
    <row r="253">
      <c r="E253" s="18" t="n"/>
      <c r="F253" s="18" t="n"/>
      <c r="G253" s="18" t="n"/>
    </row>
    <row r="254">
      <c r="E254" s="18" t="n"/>
      <c r="F254" s="18" t="n"/>
      <c r="G254" s="18" t="n"/>
    </row>
    <row r="255">
      <c r="E255" s="18" t="n"/>
      <c r="F255" s="18" t="n"/>
      <c r="G255" s="18" t="n"/>
    </row>
    <row r="256">
      <c r="E256" s="18" t="n"/>
      <c r="F256" s="18" t="n"/>
      <c r="G256" s="18" t="n"/>
    </row>
    <row r="257">
      <c r="E257" s="18" t="n"/>
      <c r="F257" s="18" t="n"/>
      <c r="G257" s="18" t="n"/>
    </row>
    <row r="258">
      <c r="E258" s="18" t="n"/>
      <c r="F258" s="18" t="n"/>
      <c r="G258" s="18" t="n"/>
    </row>
    <row r="259">
      <c r="E259" s="18" t="n"/>
      <c r="F259" s="18" t="n"/>
      <c r="G259" s="18" t="n"/>
    </row>
    <row r="260">
      <c r="E260" s="18" t="n"/>
      <c r="F260" s="18" t="n"/>
      <c r="G260" s="18" t="n"/>
    </row>
    <row r="261">
      <c r="E261" s="18" t="n"/>
      <c r="F261" s="18" t="n"/>
      <c r="G261" s="18" t="n"/>
    </row>
    <row r="262">
      <c r="E262" s="18" t="n"/>
      <c r="F262" s="18" t="n"/>
      <c r="G262" s="18" t="n"/>
    </row>
    <row r="263">
      <c r="E263" s="18" t="n"/>
      <c r="F263" s="18" t="n"/>
      <c r="G263" s="18" t="n"/>
    </row>
    <row r="264">
      <c r="E264" s="18" t="n"/>
      <c r="F264" s="18" t="n"/>
      <c r="G264" s="18" t="n"/>
    </row>
    <row r="265">
      <c r="E265" s="18" t="n"/>
      <c r="F265" s="18" t="n"/>
      <c r="G265" s="18" t="n"/>
    </row>
    <row r="266">
      <c r="E266" s="18" t="n"/>
      <c r="F266" s="18" t="n"/>
      <c r="G266" s="18" t="n"/>
    </row>
    <row r="267">
      <c r="E267" s="18" t="n"/>
      <c r="F267" s="18" t="n"/>
      <c r="G267" s="18" t="n"/>
    </row>
    <row r="268">
      <c r="E268" s="18" t="n"/>
      <c r="F268" s="18" t="n"/>
      <c r="G268" s="18" t="n"/>
    </row>
    <row r="269">
      <c r="E269" s="18" t="n"/>
      <c r="F269" s="18" t="n"/>
      <c r="G269" s="18" t="n"/>
    </row>
    <row r="270">
      <c r="E270" s="18" t="n"/>
      <c r="F270" s="18" t="n"/>
      <c r="G270" s="18" t="n"/>
    </row>
    <row r="271">
      <c r="E271" s="18" t="n"/>
      <c r="F271" s="18" t="n"/>
      <c r="G271" s="18" t="n"/>
    </row>
    <row r="272">
      <c r="E272" s="18" t="n"/>
      <c r="F272" s="18" t="n"/>
      <c r="G272" s="18" t="n"/>
    </row>
    <row r="273">
      <c r="E273" s="18" t="n"/>
      <c r="F273" s="18" t="n"/>
      <c r="G273" s="18" t="n"/>
    </row>
    <row r="274">
      <c r="E274" s="18" t="n"/>
      <c r="F274" s="18" t="n"/>
      <c r="G274" s="18" t="n"/>
    </row>
    <row r="275">
      <c r="E275" s="18" t="n"/>
      <c r="F275" s="18" t="n"/>
      <c r="G275" s="18" t="n"/>
    </row>
    <row r="276">
      <c r="E276" s="18" t="n"/>
      <c r="F276" s="18" t="n"/>
      <c r="G276" s="18" t="n"/>
    </row>
    <row r="277">
      <c r="E277" s="18" t="n"/>
      <c r="F277" s="18" t="n"/>
      <c r="G277" s="18" t="n"/>
    </row>
    <row r="278">
      <c r="E278" s="18" t="n"/>
      <c r="F278" s="18" t="n"/>
      <c r="G278" s="18" t="n"/>
    </row>
    <row r="279">
      <c r="E279" s="18" t="n"/>
      <c r="F279" s="18" t="n"/>
      <c r="G279" s="18" t="n"/>
    </row>
    <row r="280">
      <c r="E280" s="18" t="n"/>
      <c r="F280" s="18" t="n"/>
      <c r="G280" s="18" t="n"/>
    </row>
    <row r="281">
      <c r="E281" s="18" t="n"/>
      <c r="F281" s="18" t="n"/>
      <c r="G281" s="18" t="n"/>
    </row>
    <row r="282">
      <c r="E282" s="18" t="n"/>
      <c r="F282" s="18" t="n"/>
      <c r="G282" s="18" t="n"/>
    </row>
    <row r="283">
      <c r="E283" s="18" t="n"/>
      <c r="F283" s="18" t="n"/>
      <c r="G283" s="18" t="n"/>
    </row>
    <row r="284">
      <c r="E284" s="18" t="n"/>
      <c r="F284" s="18" t="n"/>
      <c r="G284" s="18" t="n"/>
    </row>
    <row r="285">
      <c r="E285" s="18" t="n"/>
      <c r="F285" s="18" t="n"/>
      <c r="G285" s="18" t="n"/>
    </row>
    <row r="286">
      <c r="E286" s="18" t="n"/>
      <c r="F286" s="18" t="n"/>
      <c r="G286" s="18" t="n"/>
    </row>
    <row r="287">
      <c r="E287" s="18" t="n"/>
      <c r="F287" s="18" t="n"/>
      <c r="G287" s="18" t="n"/>
    </row>
    <row r="288">
      <c r="E288" s="18" t="n"/>
      <c r="F288" s="18" t="n"/>
      <c r="G288" s="18" t="n"/>
    </row>
    <row r="289">
      <c r="E289" s="18" t="n"/>
      <c r="F289" s="18" t="n"/>
      <c r="G289" s="18" t="n"/>
    </row>
    <row r="290">
      <c r="E290" s="18" t="n"/>
      <c r="F290" s="18" t="n"/>
      <c r="G290" s="18" t="n"/>
    </row>
    <row r="291">
      <c r="E291" s="18" t="n"/>
      <c r="F291" s="18" t="n"/>
      <c r="G291" s="18" t="n"/>
    </row>
    <row r="292">
      <c r="E292" s="18" t="n"/>
      <c r="F292" s="18" t="n"/>
      <c r="G292" s="18" t="n"/>
    </row>
    <row r="293">
      <c r="E293" s="18" t="n"/>
      <c r="F293" s="18" t="n"/>
      <c r="G293" s="18" t="n"/>
    </row>
    <row r="294">
      <c r="E294" s="18" t="n"/>
      <c r="F294" s="18" t="n"/>
      <c r="G294" s="18" t="n"/>
    </row>
    <row r="295">
      <c r="E295" s="18" t="n"/>
      <c r="F295" s="18" t="n"/>
      <c r="G295" s="18" t="n"/>
    </row>
    <row r="296">
      <c r="E296" s="18" t="n"/>
      <c r="F296" s="18" t="n"/>
      <c r="G296" s="18" t="n"/>
    </row>
    <row r="297">
      <c r="E297" s="18" t="n"/>
      <c r="F297" s="18" t="n"/>
      <c r="G297" s="18" t="n"/>
    </row>
    <row r="298">
      <c r="E298" s="18" t="n"/>
      <c r="F298" s="18" t="n"/>
      <c r="G298" s="18" t="n"/>
    </row>
    <row r="299">
      <c r="E299" s="18" t="n"/>
      <c r="F299" s="18" t="n"/>
      <c r="G299" s="18" t="n"/>
    </row>
    <row r="300">
      <c r="E300" s="18" t="n"/>
      <c r="F300" s="18" t="n"/>
      <c r="G300" s="18" t="n"/>
    </row>
    <row r="301">
      <c r="E301" s="18" t="n"/>
      <c r="F301" s="18" t="n"/>
      <c r="G301" s="18" t="n"/>
    </row>
    <row r="302">
      <c r="E302" s="18" t="n"/>
      <c r="F302" s="18" t="n"/>
      <c r="G302" s="18" t="n"/>
    </row>
    <row r="303">
      <c r="E303" s="18" t="n"/>
      <c r="F303" s="18" t="n"/>
      <c r="G303" s="18" t="n"/>
    </row>
    <row r="304">
      <c r="E304" s="18" t="n"/>
      <c r="F304" s="18" t="n"/>
      <c r="G304" s="18" t="n"/>
    </row>
    <row r="305">
      <c r="E305" s="18" t="n"/>
      <c r="F305" s="18" t="n"/>
      <c r="G305" s="18" t="n"/>
    </row>
    <row r="306">
      <c r="E306" s="18" t="n"/>
      <c r="F306" s="18" t="n"/>
      <c r="G306" s="18" t="n"/>
    </row>
    <row r="307">
      <c r="E307" s="18" t="n"/>
      <c r="F307" s="18" t="n"/>
      <c r="G307" s="18" t="n"/>
    </row>
    <row r="308">
      <c r="E308" s="18" t="n"/>
      <c r="F308" s="18" t="n"/>
      <c r="G308" s="18" t="n"/>
    </row>
    <row r="309">
      <c r="E309" s="18" t="n"/>
      <c r="F309" s="18" t="n"/>
      <c r="G309" s="18" t="n"/>
    </row>
    <row r="310">
      <c r="E310" s="18" t="n"/>
      <c r="F310" s="18" t="n"/>
      <c r="G310" s="18" t="n"/>
    </row>
    <row r="311">
      <c r="E311" s="18" t="n"/>
      <c r="F311" s="18" t="n"/>
      <c r="G311" s="18" t="n"/>
    </row>
    <row r="312">
      <c r="E312" s="18" t="n"/>
      <c r="F312" s="18" t="n"/>
      <c r="G312" s="18" t="n"/>
    </row>
    <row r="313">
      <c r="E313" s="18" t="n"/>
      <c r="F313" s="18" t="n"/>
      <c r="G313" s="18" t="n"/>
    </row>
    <row r="314">
      <c r="E314" s="18" t="n"/>
      <c r="F314" s="18" t="n"/>
      <c r="G314" s="18" t="n"/>
    </row>
    <row r="315">
      <c r="E315" s="18" t="n"/>
      <c r="F315" s="18" t="n"/>
      <c r="G315" s="18" t="n"/>
    </row>
    <row r="316">
      <c r="E316" s="18" t="n"/>
      <c r="F316" s="18" t="n"/>
      <c r="G316" s="18" t="n"/>
    </row>
    <row r="317">
      <c r="E317" s="18" t="n"/>
      <c r="F317" s="18" t="n"/>
      <c r="G317" s="18" t="n"/>
    </row>
    <row r="318">
      <c r="E318" s="18" t="n"/>
      <c r="F318" s="18" t="n"/>
      <c r="G318" s="18" t="n"/>
    </row>
    <row r="319">
      <c r="E319" s="18" t="n"/>
      <c r="F319" s="18" t="n"/>
      <c r="G319" s="18" t="n"/>
    </row>
    <row r="320">
      <c r="E320" s="18" t="n"/>
      <c r="F320" s="18" t="n"/>
      <c r="G320" s="18" t="n"/>
    </row>
    <row r="321">
      <c r="E321" s="18" t="n"/>
      <c r="F321" s="18" t="n"/>
      <c r="G321" s="18" t="n"/>
    </row>
    <row r="322">
      <c r="E322" s="18" t="n"/>
      <c r="F322" s="18" t="n"/>
      <c r="G322" s="18" t="n"/>
    </row>
    <row r="323">
      <c r="E323" s="18" t="n"/>
      <c r="F323" s="18" t="n"/>
      <c r="G323" s="18" t="n"/>
    </row>
    <row r="324">
      <c r="E324" s="18" t="n"/>
      <c r="F324" s="18" t="n"/>
      <c r="G324" s="18" t="n"/>
    </row>
    <row r="325">
      <c r="E325" s="18" t="n"/>
      <c r="F325" s="18" t="n"/>
      <c r="G325" s="18" t="n"/>
    </row>
    <row r="326">
      <c r="E326" s="18" t="n"/>
      <c r="F326" s="18" t="n"/>
      <c r="G326" s="18" t="n"/>
    </row>
    <row r="327">
      <c r="E327" s="18" t="n"/>
      <c r="F327" s="18" t="n"/>
      <c r="G327" s="18" t="n"/>
    </row>
    <row r="328">
      <c r="E328" s="18" t="n"/>
      <c r="F328" s="18" t="n"/>
      <c r="G328" s="18" t="n"/>
    </row>
    <row r="329">
      <c r="E329" s="18" t="n"/>
      <c r="F329" s="18" t="n"/>
      <c r="G329" s="18" t="n"/>
    </row>
    <row r="330">
      <c r="E330" s="18" t="n"/>
      <c r="F330" s="18" t="n"/>
      <c r="G330" s="18" t="n"/>
    </row>
    <row r="331">
      <c r="E331" s="18" t="n"/>
      <c r="F331" s="18" t="n"/>
      <c r="G331" s="18" t="n"/>
    </row>
    <row r="332">
      <c r="E332" s="18" t="n"/>
      <c r="F332" s="18" t="n"/>
      <c r="G332" s="18" t="n"/>
    </row>
    <row r="333">
      <c r="E333" s="18" t="n"/>
      <c r="F333" s="18" t="n"/>
      <c r="G333" s="18" t="n"/>
    </row>
    <row r="334">
      <c r="E334" s="18" t="n"/>
      <c r="F334" s="18" t="n"/>
      <c r="G334" s="18" t="n"/>
    </row>
    <row r="335">
      <c r="E335" s="18" t="n"/>
      <c r="F335" s="18" t="n"/>
      <c r="G335" s="18" t="n"/>
    </row>
    <row r="336">
      <c r="E336" s="18" t="n"/>
      <c r="F336" s="18" t="n"/>
      <c r="G336" s="18" t="n"/>
    </row>
    <row r="337">
      <c r="E337" s="18" t="n"/>
      <c r="F337" s="18" t="n"/>
      <c r="G337" s="18" t="n"/>
    </row>
    <row r="338">
      <c r="E338" s="18" t="n"/>
      <c r="F338" s="18" t="n"/>
      <c r="G338" s="18" t="n"/>
    </row>
    <row r="339">
      <c r="E339" s="18" t="n"/>
      <c r="F339" s="18" t="n"/>
      <c r="G339" s="18" t="n"/>
    </row>
    <row r="340">
      <c r="E340" s="18" t="n"/>
      <c r="F340" s="18" t="n"/>
      <c r="G340" s="18" t="n"/>
    </row>
    <row r="341">
      <c r="E341" s="18" t="n"/>
      <c r="F341" s="18" t="n"/>
      <c r="G341" s="18" t="n"/>
    </row>
    <row r="342">
      <c r="E342" s="18" t="n"/>
      <c r="F342" s="18" t="n"/>
      <c r="G342" s="18" t="n"/>
    </row>
    <row r="343">
      <c r="E343" s="18" t="n"/>
      <c r="F343" s="18" t="n"/>
      <c r="G343" s="18" t="n"/>
    </row>
    <row r="344">
      <c r="E344" s="18" t="n"/>
      <c r="F344" s="18" t="n"/>
      <c r="G344" s="18" t="n"/>
    </row>
    <row r="345">
      <c r="E345" s="18" t="n"/>
      <c r="F345" s="18" t="n"/>
      <c r="G345" s="18" t="n"/>
    </row>
    <row r="346">
      <c r="E346" s="18" t="n"/>
      <c r="F346" s="18" t="n"/>
      <c r="G346" s="18" t="n"/>
    </row>
    <row r="347">
      <c r="E347" s="18" t="n"/>
      <c r="F347" s="18" t="n"/>
      <c r="G347" s="18" t="n"/>
    </row>
    <row r="348">
      <c r="E348" s="18" t="n"/>
      <c r="F348" s="18" t="n"/>
      <c r="G348" s="18" t="n"/>
    </row>
    <row r="349">
      <c r="E349" s="18" t="n"/>
      <c r="F349" s="18" t="n"/>
      <c r="G349" s="18" t="n"/>
    </row>
    <row r="350">
      <c r="E350" s="18" t="n"/>
      <c r="F350" s="18" t="n"/>
      <c r="G350" s="18" t="n"/>
    </row>
    <row r="351">
      <c r="E351" s="18" t="n"/>
      <c r="F351" s="18" t="n"/>
      <c r="G351" s="18" t="n"/>
    </row>
    <row r="352">
      <c r="E352" s="18" t="n"/>
      <c r="F352" s="18" t="n"/>
      <c r="G352" s="18" t="n"/>
    </row>
    <row r="353">
      <c r="E353" s="18" t="n"/>
      <c r="F353" s="18" t="n"/>
      <c r="G353" s="18" t="n"/>
    </row>
    <row r="354">
      <c r="E354" s="18" t="n"/>
      <c r="F354" s="18" t="n"/>
      <c r="G354" s="18" t="n"/>
    </row>
    <row r="355">
      <c r="E355" s="18" t="n"/>
      <c r="F355" s="18" t="n"/>
      <c r="G355" s="18" t="n"/>
    </row>
    <row r="356">
      <c r="E356" s="18" t="n"/>
      <c r="F356" s="18" t="n"/>
      <c r="G356" s="18" t="n"/>
    </row>
    <row r="357">
      <c r="E357" s="18" t="n"/>
      <c r="F357" s="18" t="n"/>
      <c r="G357" s="18" t="n"/>
    </row>
    <row r="358">
      <c r="E358" s="18" t="n"/>
      <c r="F358" s="18" t="n"/>
      <c r="G358" s="18" t="n"/>
    </row>
    <row r="359">
      <c r="E359" s="18" t="n"/>
      <c r="F359" s="18" t="n"/>
      <c r="G359" s="18" t="n"/>
    </row>
    <row r="360">
      <c r="E360" s="18" t="n"/>
      <c r="F360" s="18" t="n"/>
      <c r="G360" s="18" t="n"/>
    </row>
    <row r="361">
      <c r="E361" s="18" t="n"/>
      <c r="F361" s="18" t="n"/>
      <c r="G361" s="18" t="n"/>
    </row>
    <row r="362">
      <c r="E362" s="18" t="n"/>
      <c r="F362" s="18" t="n"/>
      <c r="G362" s="18" t="n"/>
    </row>
    <row r="363">
      <c r="E363" s="18" t="n"/>
      <c r="F363" s="18" t="n"/>
      <c r="G363" s="18" t="n"/>
    </row>
    <row r="364">
      <c r="E364" s="18" t="n"/>
      <c r="F364" s="18" t="n"/>
      <c r="G364" s="18" t="n"/>
    </row>
    <row r="365">
      <c r="E365" s="18" t="n"/>
      <c r="F365" s="18" t="n"/>
      <c r="G365" s="18" t="n"/>
    </row>
    <row r="366">
      <c r="E366" s="18" t="n"/>
      <c r="F366" s="18" t="n"/>
      <c r="G366" s="18" t="n"/>
    </row>
    <row r="367">
      <c r="E367" s="18" t="n"/>
      <c r="F367" s="18" t="n"/>
      <c r="G367" s="18" t="n"/>
    </row>
    <row r="368">
      <c r="E368" s="18" t="n"/>
      <c r="F368" s="18" t="n"/>
      <c r="G368" s="18" t="n"/>
    </row>
    <row r="369">
      <c r="E369" s="18" t="n"/>
      <c r="F369" s="18" t="n"/>
      <c r="G369" s="18" t="n"/>
    </row>
    <row r="370">
      <c r="E370" s="18" t="n"/>
      <c r="F370" s="18" t="n"/>
      <c r="G370" s="18" t="n"/>
    </row>
    <row r="371">
      <c r="E371" s="18" t="n"/>
      <c r="F371" s="18" t="n"/>
      <c r="G371" s="18" t="n"/>
    </row>
    <row r="372">
      <c r="E372" s="18" t="n"/>
      <c r="F372" s="18" t="n"/>
      <c r="G372" s="18" t="n"/>
    </row>
    <row r="373">
      <c r="E373" s="18" t="n"/>
      <c r="F373" s="18" t="n"/>
      <c r="G373" s="18" t="n"/>
    </row>
    <row r="374">
      <c r="E374" s="18" t="n"/>
      <c r="F374" s="18" t="n"/>
      <c r="G374" s="18" t="n"/>
    </row>
    <row r="375">
      <c r="E375" s="18" t="n"/>
      <c r="F375" s="18" t="n"/>
      <c r="G375" s="18" t="n"/>
    </row>
    <row r="376">
      <c r="E376" s="18" t="n"/>
      <c r="F376" s="18" t="n"/>
      <c r="G376" s="18" t="n"/>
    </row>
    <row r="377">
      <c r="E377" s="18" t="n"/>
      <c r="F377" s="18" t="n"/>
      <c r="G377" s="18" t="n"/>
    </row>
    <row r="378">
      <c r="E378" s="18" t="n"/>
      <c r="F378" s="18" t="n"/>
      <c r="G378" s="18" t="n"/>
    </row>
    <row r="379">
      <c r="E379" s="18" t="n"/>
      <c r="F379" s="18" t="n"/>
      <c r="G379" s="18" t="n"/>
    </row>
    <row r="380">
      <c r="E380" s="18" t="n"/>
      <c r="F380" s="18" t="n"/>
      <c r="G380" s="18" t="n"/>
    </row>
    <row r="381">
      <c r="E381" s="18" t="n"/>
      <c r="F381" s="18" t="n"/>
      <c r="G381" s="18" t="n"/>
    </row>
    <row r="382">
      <c r="E382" s="18" t="n"/>
      <c r="F382" s="18" t="n"/>
      <c r="G382" s="18" t="n"/>
    </row>
    <row r="383">
      <c r="E383" s="18" t="n"/>
      <c r="F383" s="18" t="n"/>
      <c r="G383" s="18" t="n"/>
    </row>
    <row r="384">
      <c r="E384" s="18" t="n"/>
      <c r="F384" s="18" t="n"/>
      <c r="G384" s="18" t="n"/>
    </row>
    <row r="385">
      <c r="E385" s="18" t="n"/>
      <c r="F385" s="18" t="n"/>
      <c r="G385" s="18" t="n"/>
    </row>
    <row r="386">
      <c r="E386" s="18" t="n"/>
      <c r="F386" s="18" t="n"/>
      <c r="G386" s="18" t="n"/>
    </row>
    <row r="387">
      <c r="E387" s="18" t="n"/>
      <c r="F387" s="18" t="n"/>
      <c r="G387" s="18" t="n"/>
    </row>
    <row r="388">
      <c r="E388" s="18" t="n"/>
      <c r="F388" s="18" t="n"/>
      <c r="G388" s="18" t="n"/>
    </row>
    <row r="389">
      <c r="E389" s="18" t="n"/>
      <c r="F389" s="18" t="n"/>
      <c r="G389" s="18" t="n"/>
    </row>
    <row r="390">
      <c r="E390" s="18" t="n"/>
      <c r="F390" s="18" t="n"/>
      <c r="G390" s="18" t="n"/>
    </row>
    <row r="391">
      <c r="E391" s="18" t="n"/>
      <c r="F391" s="18" t="n"/>
      <c r="G391" s="18" t="n"/>
    </row>
    <row r="392">
      <c r="E392" s="18" t="n"/>
      <c r="F392" s="18" t="n"/>
      <c r="G392" s="18" t="n"/>
    </row>
    <row r="393">
      <c r="E393" s="18" t="n"/>
      <c r="F393" s="18" t="n"/>
      <c r="G393" s="18" t="n"/>
    </row>
    <row r="394">
      <c r="E394" s="18" t="n"/>
      <c r="F394" s="18" t="n"/>
      <c r="G394" s="18" t="n"/>
    </row>
    <row r="395">
      <c r="E395" s="18" t="n"/>
      <c r="F395" s="18" t="n"/>
      <c r="G395" s="18" t="n"/>
    </row>
    <row r="396">
      <c r="E396" s="18" t="n"/>
      <c r="F396" s="18" t="n"/>
      <c r="G396" s="18" t="n"/>
    </row>
    <row r="397">
      <c r="E397" s="18" t="n"/>
      <c r="F397" s="18" t="n"/>
      <c r="G397" s="18" t="n"/>
    </row>
    <row r="398">
      <c r="E398" s="18" t="n"/>
      <c r="F398" s="18" t="n"/>
      <c r="G398" s="18" t="n"/>
    </row>
    <row r="399">
      <c r="E399" s="18" t="n"/>
      <c r="F399" s="18" t="n"/>
      <c r="G399" s="18" t="n"/>
    </row>
    <row r="400">
      <c r="E400" s="18" t="n"/>
      <c r="F400" s="18" t="n"/>
      <c r="G400" s="18" t="n"/>
    </row>
    <row r="401">
      <c r="E401" s="18" t="n"/>
      <c r="F401" s="18" t="n"/>
      <c r="G401" s="18" t="n"/>
    </row>
    <row r="402">
      <c r="E402" s="18" t="n"/>
      <c r="F402" s="18" t="n"/>
      <c r="G402" s="18" t="n"/>
    </row>
    <row r="403">
      <c r="E403" s="18" t="n"/>
      <c r="F403" s="18" t="n"/>
      <c r="G403" s="18" t="n"/>
    </row>
    <row r="404">
      <c r="E404" s="18" t="n"/>
      <c r="F404" s="18" t="n"/>
      <c r="G404" s="18" t="n"/>
    </row>
    <row r="405">
      <c r="E405" s="18" t="n"/>
      <c r="F405" s="18" t="n"/>
      <c r="G405" s="18" t="n"/>
    </row>
    <row r="406">
      <c r="E406" s="18" t="n"/>
      <c r="F406" s="18" t="n"/>
      <c r="G406" s="18" t="n"/>
    </row>
    <row r="407">
      <c r="E407" s="18" t="n"/>
      <c r="F407" s="18" t="n"/>
      <c r="G407" s="18" t="n"/>
    </row>
    <row r="408">
      <c r="E408" s="18" t="n"/>
      <c r="F408" s="18" t="n"/>
      <c r="G408" s="18" t="n"/>
    </row>
    <row r="409">
      <c r="E409" s="18" t="n"/>
      <c r="F409" s="18" t="n"/>
      <c r="G409" s="18" t="n"/>
    </row>
    <row r="410">
      <c r="E410" s="18" t="n"/>
      <c r="F410" s="18" t="n"/>
      <c r="G410" s="18" t="n"/>
    </row>
    <row r="411">
      <c r="E411" s="18" t="n"/>
      <c r="F411" s="18" t="n"/>
      <c r="G411" s="18" t="n"/>
    </row>
    <row r="412">
      <c r="E412" s="18" t="n"/>
      <c r="F412" s="18" t="n"/>
      <c r="G412" s="18" t="n"/>
    </row>
    <row r="413">
      <c r="E413" s="18" t="n"/>
      <c r="F413" s="18" t="n"/>
      <c r="G413" s="18" t="n"/>
    </row>
    <row r="414">
      <c r="E414" s="18" t="n"/>
      <c r="F414" s="18" t="n"/>
      <c r="G414" s="18" t="n"/>
    </row>
    <row r="415">
      <c r="E415" s="18" t="n"/>
      <c r="F415" s="18" t="n"/>
      <c r="G415" s="18" t="n"/>
    </row>
    <row r="416">
      <c r="E416" s="18" t="n"/>
      <c r="F416" s="18" t="n"/>
      <c r="G416" s="18" t="n"/>
    </row>
    <row r="417">
      <c r="E417" s="18" t="n"/>
      <c r="F417" s="18" t="n"/>
      <c r="G417" s="18" t="n"/>
    </row>
    <row r="418">
      <c r="E418" s="18" t="n"/>
      <c r="F418" s="18" t="n"/>
      <c r="G418" s="18" t="n"/>
    </row>
    <row r="419">
      <c r="E419" s="18" t="n"/>
      <c r="F419" s="18" t="n"/>
      <c r="G419" s="18" t="n"/>
    </row>
    <row r="420">
      <c r="E420" s="18" t="n"/>
      <c r="F420" s="18" t="n"/>
      <c r="G420" s="18" t="n"/>
    </row>
    <row r="421">
      <c r="E421" s="18" t="n"/>
      <c r="F421" s="18" t="n"/>
      <c r="G421" s="18" t="n"/>
    </row>
    <row r="422">
      <c r="E422" s="18" t="n"/>
      <c r="F422" s="18" t="n"/>
      <c r="G422" s="18" t="n"/>
    </row>
    <row r="423">
      <c r="E423" s="18" t="n"/>
      <c r="F423" s="18" t="n"/>
      <c r="G423" s="18" t="n"/>
    </row>
    <row r="424">
      <c r="E424" s="18" t="n"/>
      <c r="F424" s="18" t="n"/>
      <c r="G424" s="18" t="n"/>
    </row>
    <row r="425">
      <c r="E425" s="18" t="n"/>
      <c r="F425" s="18" t="n"/>
      <c r="G425" s="18" t="n"/>
    </row>
    <row r="426">
      <c r="E426" s="18" t="n"/>
      <c r="F426" s="18" t="n"/>
      <c r="G426" s="18" t="n"/>
    </row>
    <row r="427">
      <c r="E427" s="18" t="n"/>
      <c r="F427" s="18" t="n"/>
      <c r="G427" s="18" t="n"/>
    </row>
    <row r="428">
      <c r="E428" s="18" t="n"/>
      <c r="F428" s="18" t="n"/>
      <c r="G428" s="18" t="n"/>
    </row>
    <row r="429">
      <c r="E429" s="18" t="n"/>
      <c r="F429" s="18" t="n"/>
      <c r="G429" s="18" t="n"/>
    </row>
    <row r="430">
      <c r="E430" s="18" t="n"/>
      <c r="F430" s="18" t="n"/>
      <c r="G430" s="18" t="n"/>
    </row>
    <row r="431">
      <c r="E431" s="18" t="n"/>
      <c r="F431" s="18" t="n"/>
      <c r="G431" s="18" t="n"/>
    </row>
    <row r="432">
      <c r="E432" s="18" t="n"/>
      <c r="F432" s="18" t="n"/>
      <c r="G432" s="18" t="n"/>
    </row>
    <row r="433">
      <c r="E433" s="18" t="n"/>
      <c r="F433" s="18" t="n"/>
      <c r="G433" s="18" t="n"/>
    </row>
    <row r="434">
      <c r="E434" s="18" t="n"/>
      <c r="F434" s="18" t="n"/>
      <c r="G434" s="18" t="n"/>
    </row>
    <row r="435">
      <c r="E435" s="18" t="n"/>
      <c r="F435" s="18" t="n"/>
      <c r="G435" s="18" t="n"/>
    </row>
    <row r="436">
      <c r="E436" s="18" t="n"/>
      <c r="F436" s="18" t="n"/>
      <c r="G436" s="18" t="n"/>
    </row>
    <row r="437">
      <c r="E437" s="18" t="n"/>
      <c r="F437" s="18" t="n"/>
      <c r="G437" s="18" t="n"/>
    </row>
    <row r="438">
      <c r="E438" s="18" t="n"/>
      <c r="F438" s="18" t="n"/>
      <c r="G438" s="18" t="n"/>
    </row>
    <row r="439">
      <c r="E439" s="18" t="n"/>
      <c r="F439" s="18" t="n"/>
      <c r="G439" s="18" t="n"/>
    </row>
    <row r="440">
      <c r="E440" s="18" t="n"/>
      <c r="F440" s="18" t="n"/>
      <c r="G440" s="18" t="n"/>
    </row>
    <row r="441">
      <c r="E441" s="18" t="n"/>
      <c r="F441" s="18" t="n"/>
      <c r="G441" s="18" t="n"/>
    </row>
    <row r="442">
      <c r="E442" s="18" t="n"/>
      <c r="F442" s="18" t="n"/>
      <c r="G442" s="18" t="n"/>
    </row>
    <row r="443">
      <c r="E443" s="18" t="n"/>
      <c r="F443" s="18" t="n"/>
      <c r="G443" s="18" t="n"/>
    </row>
    <row r="444">
      <c r="E444" s="18" t="n"/>
      <c r="F444" s="18" t="n"/>
      <c r="G444" s="18" t="n"/>
    </row>
    <row r="445">
      <c r="E445" s="18" t="n"/>
      <c r="F445" s="18" t="n"/>
      <c r="G445" s="18" t="n"/>
    </row>
    <row r="446">
      <c r="E446" s="18" t="n"/>
      <c r="F446" s="18" t="n"/>
      <c r="G446" s="18" t="n"/>
    </row>
    <row r="447">
      <c r="E447" s="18" t="n"/>
      <c r="F447" s="18" t="n"/>
      <c r="G447" s="18" t="n"/>
    </row>
    <row r="448">
      <c r="E448" s="18" t="n"/>
      <c r="F448" s="18" t="n"/>
      <c r="G448" s="18" t="n"/>
    </row>
    <row r="449">
      <c r="E449" s="18" t="n"/>
      <c r="F449" s="18" t="n"/>
      <c r="G449" s="18" t="n"/>
    </row>
    <row r="450">
      <c r="E450" s="18" t="n"/>
      <c r="F450" s="18" t="n"/>
      <c r="G450" s="18" t="n"/>
    </row>
    <row r="451">
      <c r="E451" s="18" t="n"/>
      <c r="F451" s="18" t="n"/>
      <c r="G451" s="18" t="n"/>
    </row>
    <row r="452">
      <c r="E452" s="18" t="n"/>
      <c r="F452" s="18" t="n"/>
      <c r="G452" s="18" t="n"/>
    </row>
    <row r="453">
      <c r="E453" s="18" t="n"/>
      <c r="F453" s="18" t="n"/>
      <c r="G453" s="18" t="n"/>
    </row>
    <row r="454">
      <c r="E454" s="18" t="n"/>
      <c r="F454" s="18" t="n"/>
      <c r="G454" s="18" t="n"/>
    </row>
    <row r="455">
      <c r="E455" s="18" t="n"/>
      <c r="F455" s="18" t="n"/>
      <c r="G455" s="18" t="n"/>
    </row>
    <row r="456">
      <c r="E456" s="18" t="n"/>
      <c r="F456" s="18" t="n"/>
      <c r="G456" s="18" t="n"/>
    </row>
    <row r="457">
      <c r="E457" s="18" t="n"/>
      <c r="F457" s="18" t="n"/>
      <c r="G457" s="18" t="n"/>
    </row>
    <row r="458">
      <c r="E458" s="18" t="n"/>
      <c r="F458" s="18" t="n"/>
      <c r="G458" s="18" t="n"/>
    </row>
    <row r="459">
      <c r="E459" s="18" t="n"/>
      <c r="F459" s="18" t="n"/>
      <c r="G459" s="18" t="n"/>
    </row>
    <row r="460">
      <c r="E460" s="18" t="n"/>
      <c r="F460" s="18" t="n"/>
      <c r="G460" s="18" t="n"/>
    </row>
    <row r="461">
      <c r="E461" s="18" t="n"/>
      <c r="F461" s="18" t="n"/>
      <c r="G461" s="18" t="n"/>
    </row>
    <row r="462">
      <c r="E462" s="18" t="n"/>
      <c r="F462" s="18" t="n"/>
      <c r="G462" s="18" t="n"/>
    </row>
    <row r="463">
      <c r="E463" s="18" t="n"/>
      <c r="F463" s="18" t="n"/>
      <c r="G463" s="18" t="n"/>
    </row>
    <row r="464">
      <c r="E464" s="18" t="n"/>
      <c r="F464" s="18" t="n"/>
      <c r="G464" s="18" t="n"/>
    </row>
    <row r="465">
      <c r="E465" s="18" t="n"/>
      <c r="F465" s="18" t="n"/>
      <c r="G465" s="18" t="n"/>
    </row>
    <row r="466">
      <c r="E466" s="18" t="n"/>
      <c r="F466" s="18" t="n"/>
      <c r="G466" s="18" t="n"/>
    </row>
    <row r="467">
      <c r="E467" s="18" t="n"/>
      <c r="F467" s="18" t="n"/>
      <c r="G467" s="18" t="n"/>
    </row>
    <row r="468">
      <c r="E468" s="18" t="n"/>
      <c r="F468" s="18" t="n"/>
      <c r="G468" s="18" t="n"/>
    </row>
    <row r="469">
      <c r="E469" s="18" t="n"/>
      <c r="F469" s="18" t="n"/>
      <c r="G469" s="18" t="n"/>
    </row>
    <row r="470">
      <c r="E470" s="18" t="n"/>
      <c r="F470" s="18" t="n"/>
      <c r="G470" s="18" t="n"/>
    </row>
    <row r="471">
      <c r="E471" s="18" t="n"/>
      <c r="F471" s="18" t="n"/>
      <c r="G471" s="18" t="n"/>
    </row>
    <row r="472">
      <c r="E472" s="18" t="n"/>
      <c r="F472" s="18" t="n"/>
      <c r="G472" s="18" t="n"/>
    </row>
    <row r="473">
      <c r="E473" s="18" t="n"/>
      <c r="F473" s="18" t="n"/>
      <c r="G473" s="18" t="n"/>
    </row>
    <row r="474">
      <c r="E474" s="18" t="n"/>
      <c r="F474" s="18" t="n"/>
      <c r="G474" s="18" t="n"/>
    </row>
    <row r="475">
      <c r="E475" s="18" t="n"/>
      <c r="F475" s="18" t="n"/>
      <c r="G475" s="18" t="n"/>
    </row>
    <row r="476">
      <c r="E476" s="18" t="n"/>
      <c r="F476" s="18" t="n"/>
      <c r="G476" s="18" t="n"/>
    </row>
    <row r="477">
      <c r="E477" s="18" t="n"/>
      <c r="F477" s="18" t="n"/>
      <c r="G477" s="18" t="n"/>
    </row>
    <row r="478">
      <c r="E478" s="18" t="n"/>
      <c r="F478" s="18" t="n"/>
      <c r="G478" s="18" t="n"/>
    </row>
    <row r="479">
      <c r="E479" s="18" t="n"/>
      <c r="F479" s="18" t="n"/>
      <c r="G479" s="18" t="n"/>
    </row>
    <row r="480">
      <c r="E480" s="18" t="n"/>
      <c r="F480" s="18" t="n"/>
      <c r="G480" s="18" t="n"/>
    </row>
    <row r="481">
      <c r="E481" s="18" t="n"/>
      <c r="F481" s="18" t="n"/>
      <c r="G481" s="18" t="n"/>
    </row>
    <row r="482">
      <c r="E482" s="18" t="n"/>
      <c r="F482" s="18" t="n"/>
      <c r="G482" s="18" t="n"/>
    </row>
    <row r="483">
      <c r="E483" s="18" t="n"/>
      <c r="F483" s="18" t="n"/>
      <c r="G483" s="18" t="n"/>
    </row>
    <row r="484">
      <c r="E484" s="18" t="n"/>
      <c r="F484" s="18" t="n"/>
      <c r="G484" s="18" t="n"/>
    </row>
    <row r="485">
      <c r="E485" s="18" t="n"/>
      <c r="F485" s="18" t="n"/>
      <c r="G485" s="18" t="n"/>
    </row>
    <row r="486">
      <c r="E486" s="18" t="n"/>
      <c r="F486" s="18" t="n"/>
      <c r="G486" s="18" t="n"/>
    </row>
    <row r="487">
      <c r="E487" s="18" t="n"/>
      <c r="F487" s="18" t="n"/>
      <c r="G487" s="18" t="n"/>
    </row>
    <row r="488">
      <c r="E488" s="18" t="n"/>
      <c r="F488" s="18" t="n"/>
      <c r="G488" s="18" t="n"/>
    </row>
    <row r="489">
      <c r="E489" s="18" t="n"/>
      <c r="F489" s="18" t="n"/>
      <c r="G489" s="18" t="n"/>
    </row>
    <row r="490">
      <c r="E490" s="18" t="n"/>
      <c r="F490" s="18" t="n"/>
      <c r="G490" s="18" t="n"/>
    </row>
    <row r="491">
      <c r="E491" s="18" t="n"/>
      <c r="F491" s="18" t="n"/>
      <c r="G491" s="18" t="n"/>
    </row>
    <row r="492">
      <c r="E492" s="18" t="n"/>
      <c r="F492" s="18" t="n"/>
      <c r="G492" s="18" t="n"/>
    </row>
    <row r="493">
      <c r="E493" s="18" t="n"/>
      <c r="F493" s="18" t="n"/>
      <c r="G493" s="18" t="n"/>
    </row>
    <row r="494">
      <c r="E494" s="18" t="n"/>
      <c r="F494" s="18" t="n"/>
      <c r="G494" s="18" t="n"/>
    </row>
    <row r="495">
      <c r="E495" s="18" t="n"/>
      <c r="F495" s="18" t="n"/>
      <c r="G495" s="18" t="n"/>
    </row>
    <row r="496">
      <c r="E496" s="18" t="n"/>
      <c r="F496" s="18" t="n"/>
      <c r="G496" s="18" t="n"/>
    </row>
    <row r="497">
      <c r="E497" s="18" t="n"/>
      <c r="F497" s="18" t="n"/>
      <c r="G497" s="18" t="n"/>
    </row>
    <row r="498">
      <c r="E498" s="18" t="n"/>
      <c r="F498" s="18" t="n"/>
      <c r="G498" s="18" t="n"/>
    </row>
    <row r="499">
      <c r="E499" s="18" t="n"/>
      <c r="F499" s="18" t="n"/>
      <c r="G499" s="18" t="n"/>
    </row>
    <row r="500">
      <c r="E500" s="18" t="n"/>
      <c r="F500" s="18" t="n"/>
      <c r="G500" s="18" t="n"/>
    </row>
    <row r="501">
      <c r="E501" s="18" t="n"/>
      <c r="F501" s="18" t="n"/>
      <c r="G501" s="18" t="n"/>
    </row>
    <row r="502">
      <c r="E502" s="18" t="n"/>
      <c r="F502" s="18" t="n"/>
      <c r="G502" s="18" t="n"/>
    </row>
    <row r="503">
      <c r="E503" s="18" t="n"/>
      <c r="F503" s="18" t="n"/>
      <c r="G503" s="18" t="n"/>
    </row>
    <row r="504">
      <c r="E504" s="18" t="n"/>
      <c r="F504" s="18" t="n"/>
      <c r="G504" s="18" t="n"/>
    </row>
    <row r="505">
      <c r="E505" s="18" t="n"/>
      <c r="F505" s="18" t="n"/>
      <c r="G505" s="18" t="n"/>
    </row>
    <row r="506">
      <c r="E506" s="18" t="n"/>
      <c r="F506" s="18" t="n"/>
      <c r="G506" s="18" t="n"/>
    </row>
    <row r="507">
      <c r="E507" s="18" t="n"/>
      <c r="F507" s="18" t="n"/>
      <c r="G507" s="18" t="n"/>
    </row>
    <row r="508">
      <c r="E508" s="18" t="n"/>
      <c r="F508" s="18" t="n"/>
      <c r="G508" s="18" t="n"/>
    </row>
    <row r="509">
      <c r="E509" s="18" t="n"/>
      <c r="F509" s="18" t="n"/>
      <c r="G509" s="18" t="n"/>
    </row>
    <row r="510">
      <c r="E510" s="18" t="n"/>
      <c r="F510" s="18" t="n"/>
      <c r="G510" s="18" t="n"/>
    </row>
    <row r="511">
      <c r="E511" s="18" t="n"/>
      <c r="F511" s="18" t="n"/>
      <c r="G511" s="18" t="n"/>
    </row>
    <row r="512">
      <c r="E512" s="18" t="n"/>
      <c r="F512" s="18" t="n"/>
      <c r="G512" s="18" t="n"/>
    </row>
    <row r="513">
      <c r="E513" s="18" t="n"/>
      <c r="F513" s="18" t="n"/>
      <c r="G513" s="18" t="n"/>
    </row>
    <row r="514">
      <c r="E514" s="18" t="n"/>
      <c r="F514" s="18" t="n"/>
      <c r="G514" s="18" t="n"/>
    </row>
    <row r="515">
      <c r="E515" s="18" t="n"/>
      <c r="F515" s="18" t="n"/>
      <c r="G515" s="18" t="n"/>
    </row>
    <row r="516">
      <c r="E516" s="18" t="n"/>
      <c r="F516" s="18" t="n"/>
      <c r="G516" s="18" t="n"/>
    </row>
    <row r="517">
      <c r="E517" s="18" t="n"/>
      <c r="F517" s="18" t="n"/>
      <c r="G517" s="18" t="n"/>
    </row>
    <row r="518">
      <c r="E518" s="18" t="n"/>
      <c r="F518" s="18" t="n"/>
      <c r="G518" s="18" t="n"/>
    </row>
    <row r="519">
      <c r="E519" s="18" t="n"/>
      <c r="F519" s="18" t="n"/>
      <c r="G519" s="18" t="n"/>
    </row>
    <row r="520">
      <c r="E520" s="18" t="n"/>
      <c r="F520" s="18" t="n"/>
      <c r="G520" s="18" t="n"/>
    </row>
    <row r="521">
      <c r="E521" s="18" t="n"/>
      <c r="F521" s="18" t="n"/>
      <c r="G521" s="18" t="n"/>
    </row>
    <row r="522">
      <c r="E522" s="18" t="n"/>
      <c r="F522" s="18" t="n"/>
      <c r="G522" s="18" t="n"/>
    </row>
    <row r="523">
      <c r="E523" s="18" t="n"/>
      <c r="F523" s="18" t="n"/>
      <c r="G523" s="18" t="n"/>
    </row>
    <row r="524">
      <c r="E524" s="18" t="n"/>
      <c r="F524" s="18" t="n"/>
      <c r="G524" s="18" t="n"/>
    </row>
    <row r="525">
      <c r="E525" s="18" t="n"/>
      <c r="F525" s="18" t="n"/>
      <c r="G525" s="18" t="n"/>
    </row>
    <row r="526">
      <c r="E526" s="18" t="n"/>
      <c r="F526" s="18" t="n"/>
      <c r="G526" s="18" t="n"/>
    </row>
    <row r="527">
      <c r="E527" s="18" t="n"/>
      <c r="F527" s="18" t="n"/>
      <c r="G527" s="18" t="n"/>
    </row>
    <row r="528">
      <c r="E528" s="18" t="n"/>
      <c r="F528" s="18" t="n"/>
      <c r="G528" s="18" t="n"/>
    </row>
    <row r="529">
      <c r="E529" s="18" t="n"/>
      <c r="F529" s="18" t="n"/>
      <c r="G529" s="18" t="n"/>
    </row>
    <row r="530">
      <c r="E530" s="18" t="n"/>
      <c r="F530" s="18" t="n"/>
      <c r="G530" s="18" t="n"/>
    </row>
    <row r="531">
      <c r="E531" s="18" t="n"/>
      <c r="F531" s="18" t="n"/>
      <c r="G531" s="18" t="n"/>
    </row>
    <row r="532">
      <c r="E532" s="18" t="n"/>
      <c r="F532" s="18" t="n"/>
      <c r="G532" s="18" t="n"/>
    </row>
    <row r="533">
      <c r="E533" s="18" t="n"/>
      <c r="F533" s="18" t="n"/>
      <c r="G533" s="18" t="n"/>
    </row>
    <row r="534">
      <c r="E534" s="18" t="n"/>
      <c r="F534" s="18" t="n"/>
      <c r="G534" s="18" t="n"/>
    </row>
    <row r="535">
      <c r="E535" s="18" t="n"/>
      <c r="F535" s="18" t="n"/>
      <c r="G535" s="18" t="n"/>
    </row>
    <row r="536">
      <c r="E536" s="18" t="n"/>
      <c r="F536" s="18" t="n"/>
      <c r="G536" s="18" t="n"/>
    </row>
    <row r="537">
      <c r="E537" s="18" t="n"/>
      <c r="F537" s="18" t="n"/>
      <c r="G537" s="18" t="n"/>
    </row>
    <row r="538">
      <c r="E538" s="18" t="n"/>
      <c r="F538" s="18" t="n"/>
      <c r="G538" s="18" t="n"/>
    </row>
    <row r="539">
      <c r="E539" s="18" t="n"/>
      <c r="F539" s="18" t="n"/>
      <c r="G539" s="18" t="n"/>
    </row>
    <row r="540">
      <c r="E540" s="18" t="n"/>
      <c r="F540" s="18" t="n"/>
      <c r="G540" s="18" t="n"/>
    </row>
    <row r="541">
      <c r="E541" s="18" t="n"/>
      <c r="F541" s="18" t="n"/>
      <c r="G541" s="18" t="n"/>
    </row>
    <row r="542">
      <c r="E542" s="18" t="n"/>
      <c r="F542" s="18" t="n"/>
      <c r="G542" s="18" t="n"/>
    </row>
    <row r="543">
      <c r="E543" s="18" t="n"/>
      <c r="F543" s="18" t="n"/>
      <c r="G543" s="18" t="n"/>
    </row>
    <row r="544">
      <c r="E544" s="18" t="n"/>
      <c r="F544" s="18" t="n"/>
      <c r="G544" s="18" t="n"/>
    </row>
    <row r="545">
      <c r="E545" s="18" t="n"/>
      <c r="F545" s="18" t="n"/>
      <c r="G545" s="18" t="n"/>
    </row>
    <row r="546">
      <c r="E546" s="18" t="n"/>
      <c r="F546" s="18" t="n"/>
      <c r="G546" s="18" t="n"/>
    </row>
    <row r="547">
      <c r="E547" s="18" t="n"/>
      <c r="F547" s="18" t="n"/>
      <c r="G547" s="18" t="n"/>
    </row>
    <row r="548">
      <c r="E548" s="18" t="n"/>
      <c r="F548" s="18" t="n"/>
      <c r="G548" s="18" t="n"/>
    </row>
    <row r="549">
      <c r="E549" s="18" t="n"/>
      <c r="F549" s="18" t="n"/>
      <c r="G549" s="18" t="n"/>
    </row>
    <row r="550">
      <c r="E550" s="18" t="n"/>
      <c r="F550" s="18" t="n"/>
      <c r="G550" s="18" t="n"/>
    </row>
    <row r="551">
      <c r="E551" s="18" t="n"/>
      <c r="F551" s="18" t="n"/>
      <c r="G551" s="18" t="n"/>
    </row>
    <row r="552">
      <c r="E552" s="18" t="n"/>
      <c r="F552" s="18" t="n"/>
      <c r="G552" s="18" t="n"/>
    </row>
    <row r="553">
      <c r="E553" s="18" t="n"/>
      <c r="F553" s="18" t="n"/>
      <c r="G553" s="18" t="n"/>
    </row>
    <row r="554">
      <c r="E554" s="18" t="n"/>
      <c r="F554" s="18" t="n"/>
      <c r="G554" s="18" t="n"/>
    </row>
    <row r="555">
      <c r="E555" s="18" t="n"/>
      <c r="F555" s="18" t="n"/>
      <c r="G555" s="18" t="n"/>
    </row>
    <row r="556">
      <c r="E556" s="18" t="n"/>
      <c r="F556" s="18" t="n"/>
      <c r="G556" s="18" t="n"/>
    </row>
    <row r="557">
      <c r="E557" s="18" t="n"/>
      <c r="F557" s="18" t="n"/>
      <c r="G557" s="18" t="n"/>
    </row>
    <row r="558">
      <c r="E558" s="18" t="n"/>
      <c r="F558" s="18" t="n"/>
      <c r="G558" s="18" t="n"/>
    </row>
    <row r="559">
      <c r="E559" s="18" t="n"/>
      <c r="F559" s="18" t="n"/>
      <c r="G559" s="18" t="n"/>
    </row>
    <row r="560">
      <c r="E560" s="18" t="n"/>
      <c r="F560" s="18" t="n"/>
      <c r="G560" s="18" t="n"/>
    </row>
    <row r="561">
      <c r="E561" s="18" t="n"/>
      <c r="F561" s="18" t="n"/>
      <c r="G561" s="18" t="n"/>
    </row>
    <row r="562">
      <c r="E562" s="18" t="n"/>
      <c r="F562" s="18" t="n"/>
      <c r="G562" s="18" t="n"/>
    </row>
    <row r="563">
      <c r="E563" s="18" t="n"/>
      <c r="F563" s="18" t="n"/>
      <c r="G563" s="18" t="n"/>
    </row>
    <row r="564">
      <c r="E564" s="18" t="n"/>
      <c r="F564" s="18" t="n"/>
      <c r="G564" s="18" t="n"/>
    </row>
    <row r="565">
      <c r="E565" s="18" t="n"/>
      <c r="F565" s="18" t="n"/>
      <c r="G565" s="18" t="n"/>
    </row>
    <row r="566">
      <c r="E566" s="18" t="n"/>
      <c r="F566" s="18" t="n"/>
      <c r="G566" s="18" t="n"/>
    </row>
    <row r="567">
      <c r="E567" s="18" t="n"/>
      <c r="F567" s="18" t="n"/>
      <c r="G567" s="18" t="n"/>
    </row>
    <row r="568">
      <c r="E568" s="18" t="n"/>
      <c r="F568" s="18" t="n"/>
      <c r="G568" s="18" t="n"/>
    </row>
    <row r="569">
      <c r="E569" s="18" t="n"/>
      <c r="F569" s="18" t="n"/>
      <c r="G569" s="18" t="n"/>
    </row>
    <row r="570">
      <c r="E570" s="18" t="n"/>
      <c r="F570" s="18" t="n"/>
      <c r="G570" s="18" t="n"/>
    </row>
    <row r="571">
      <c r="E571" s="18" t="n"/>
      <c r="F571" s="18" t="n"/>
      <c r="G571" s="18" t="n"/>
    </row>
    <row r="572">
      <c r="E572" s="18" t="n"/>
      <c r="F572" s="18" t="n"/>
      <c r="G572" s="18" t="n"/>
    </row>
    <row r="573">
      <c r="E573" s="18" t="n"/>
      <c r="F573" s="18" t="n"/>
      <c r="G573" s="18" t="n"/>
    </row>
    <row r="574">
      <c r="E574" s="18" t="n"/>
      <c r="F574" s="18" t="n"/>
      <c r="G574" s="18" t="n"/>
    </row>
    <row r="575">
      <c r="E575" s="18" t="n"/>
      <c r="F575" s="18" t="n"/>
      <c r="G575" s="18" t="n"/>
    </row>
    <row r="576">
      <c r="E576" s="18" t="n"/>
      <c r="F576" s="18" t="n"/>
      <c r="G576" s="18" t="n"/>
    </row>
    <row r="577">
      <c r="E577" s="18" t="n"/>
      <c r="F577" s="18" t="n"/>
      <c r="G577" s="18" t="n"/>
    </row>
    <row r="578">
      <c r="E578" s="18" t="n"/>
      <c r="F578" s="18" t="n"/>
      <c r="G578" s="18" t="n"/>
    </row>
    <row r="579">
      <c r="E579" s="18" t="n"/>
      <c r="F579" s="18" t="n"/>
      <c r="G579" s="18" t="n"/>
    </row>
    <row r="580">
      <c r="E580" s="18" t="n"/>
      <c r="F580" s="18" t="n"/>
      <c r="G580" s="18" t="n"/>
    </row>
    <row r="581">
      <c r="E581" s="18" t="n"/>
      <c r="F581" s="18" t="n"/>
      <c r="G581" s="18" t="n"/>
    </row>
    <row r="582">
      <c r="E582" s="18" t="n"/>
      <c r="F582" s="18" t="n"/>
      <c r="G582" s="18" t="n"/>
    </row>
    <row r="583">
      <c r="E583" s="18" t="n"/>
      <c r="F583" s="18" t="n"/>
      <c r="G583" s="18" t="n"/>
    </row>
    <row r="584">
      <c r="E584" s="18" t="n"/>
      <c r="F584" s="18" t="n"/>
      <c r="G584" s="18" t="n"/>
    </row>
    <row r="585">
      <c r="E585" s="18" t="n"/>
      <c r="F585" s="18" t="n"/>
      <c r="G585" s="18" t="n"/>
    </row>
    <row r="586">
      <c r="E586" s="18" t="n"/>
      <c r="F586" s="18" t="n"/>
      <c r="G586" s="18" t="n"/>
    </row>
    <row r="587">
      <c r="E587" s="18" t="n"/>
      <c r="F587" s="18" t="n"/>
      <c r="G587" s="18" t="n"/>
    </row>
    <row r="588">
      <c r="E588" s="18" t="n"/>
      <c r="F588" s="18" t="n"/>
      <c r="G588" s="18" t="n"/>
    </row>
    <row r="589">
      <c r="E589" s="18" t="n"/>
      <c r="F589" s="18" t="n"/>
      <c r="G589" s="18" t="n"/>
    </row>
    <row r="590">
      <c r="E590" s="18" t="n"/>
      <c r="F590" s="18" t="n"/>
      <c r="G590" s="18" t="n"/>
    </row>
    <row r="591">
      <c r="E591" s="18" t="n"/>
      <c r="F591" s="18" t="n"/>
      <c r="G591" s="18" t="n"/>
    </row>
    <row r="592">
      <c r="E592" s="18" t="n"/>
      <c r="F592" s="18" t="n"/>
      <c r="G592" s="18" t="n"/>
    </row>
    <row r="593">
      <c r="E593" s="18" t="n"/>
      <c r="F593" s="18" t="n"/>
      <c r="G593" s="18" t="n"/>
    </row>
    <row r="594">
      <c r="E594" s="18" t="n"/>
      <c r="F594" s="18" t="n"/>
      <c r="G594" s="18" t="n"/>
    </row>
    <row r="595">
      <c r="E595" s="18" t="n"/>
      <c r="F595" s="18" t="n"/>
      <c r="G595" s="18" t="n"/>
    </row>
    <row r="596">
      <c r="E596" s="18" t="n"/>
      <c r="F596" s="18" t="n"/>
      <c r="G596" s="18" t="n"/>
    </row>
    <row r="597">
      <c r="E597" s="18" t="n"/>
      <c r="F597" s="18" t="n"/>
      <c r="G597" s="18" t="n"/>
    </row>
    <row r="598">
      <c r="E598" s="18" t="n"/>
      <c r="F598" s="18" t="n"/>
      <c r="G598" s="18" t="n"/>
    </row>
    <row r="599">
      <c r="E599" s="18" t="n"/>
      <c r="F599" s="18" t="n"/>
      <c r="G599" s="18" t="n"/>
    </row>
    <row r="600">
      <c r="E600" s="18" t="n"/>
      <c r="F600" s="18" t="n"/>
      <c r="G600" s="18" t="n"/>
    </row>
    <row r="601">
      <c r="E601" s="18" t="n"/>
      <c r="F601" s="18" t="n"/>
      <c r="G601" s="18" t="n"/>
    </row>
    <row r="602">
      <c r="E602" s="18" t="n"/>
      <c r="F602" s="18" t="n"/>
      <c r="G602" s="18" t="n"/>
    </row>
    <row r="603">
      <c r="E603" s="18" t="n"/>
      <c r="F603" s="18" t="n"/>
      <c r="G603" s="18" t="n"/>
    </row>
    <row r="604">
      <c r="E604" s="18" t="n"/>
      <c r="F604" s="18" t="n"/>
      <c r="G604" s="18" t="n"/>
    </row>
    <row r="605">
      <c r="E605" s="18" t="n"/>
      <c r="F605" s="18" t="n"/>
      <c r="G605" s="18" t="n"/>
    </row>
    <row r="606">
      <c r="E606" s="18" t="n"/>
      <c r="F606" s="18" t="n"/>
      <c r="G606" s="18" t="n"/>
    </row>
    <row r="607">
      <c r="E607" s="18" t="n"/>
      <c r="F607" s="18" t="n"/>
      <c r="G607" s="18" t="n"/>
    </row>
    <row r="608">
      <c r="E608" s="18" t="n"/>
      <c r="F608" s="18" t="n"/>
      <c r="G608" s="18" t="n"/>
    </row>
    <row r="609">
      <c r="E609" s="18" t="n"/>
      <c r="F609" s="18" t="n"/>
      <c r="G609" s="18" t="n"/>
    </row>
    <row r="610">
      <c r="E610" s="18" t="n"/>
      <c r="F610" s="18" t="n"/>
      <c r="G610" s="18" t="n"/>
    </row>
    <row r="611">
      <c r="E611" s="18" t="n"/>
      <c r="F611" s="18" t="n"/>
      <c r="G611" s="18" t="n"/>
    </row>
    <row r="612">
      <c r="E612" s="18" t="n"/>
      <c r="F612" s="18" t="n"/>
      <c r="G612" s="18" t="n"/>
    </row>
    <row r="613">
      <c r="E613" s="18" t="n"/>
      <c r="F613" s="18" t="n"/>
      <c r="G613" s="18" t="n"/>
    </row>
    <row r="614">
      <c r="E614" s="18" t="n"/>
      <c r="F614" s="18" t="n"/>
      <c r="G614" s="18" t="n"/>
    </row>
    <row r="615">
      <c r="E615" s="18" t="n"/>
      <c r="F615" s="18" t="n"/>
      <c r="G615" s="18" t="n"/>
    </row>
    <row r="616">
      <c r="E616" s="18" t="n"/>
      <c r="F616" s="18" t="n"/>
      <c r="G616" s="18" t="n"/>
    </row>
    <row r="617">
      <c r="E617" s="18" t="n"/>
      <c r="F617" s="18" t="n"/>
      <c r="G617" s="18" t="n"/>
    </row>
    <row r="618">
      <c r="E618" s="18" t="n"/>
      <c r="F618" s="18" t="n"/>
      <c r="G618" s="18" t="n"/>
    </row>
    <row r="619">
      <c r="E619" s="18" t="n"/>
      <c r="F619" s="18" t="n"/>
      <c r="G619" s="18" t="n"/>
    </row>
    <row r="620">
      <c r="E620" s="18" t="n"/>
      <c r="F620" s="18" t="n"/>
      <c r="G620" s="18" t="n"/>
    </row>
    <row r="621">
      <c r="E621" s="18" t="n"/>
      <c r="F621" s="18" t="n"/>
      <c r="G621" s="18" t="n"/>
    </row>
    <row r="622">
      <c r="E622" s="18" t="n"/>
      <c r="F622" s="18" t="n"/>
      <c r="G622" s="18" t="n"/>
    </row>
    <row r="623">
      <c r="E623" s="18" t="n"/>
      <c r="F623" s="18" t="n"/>
      <c r="G623" s="18" t="n"/>
    </row>
    <row r="624">
      <c r="E624" s="18" t="n"/>
      <c r="F624" s="18" t="n"/>
      <c r="G624" s="18" t="n"/>
    </row>
    <row r="625">
      <c r="E625" s="18" t="n"/>
      <c r="F625" s="18" t="n"/>
      <c r="G625" s="18" t="n"/>
    </row>
    <row r="626">
      <c r="E626" s="18" t="n"/>
      <c r="F626" s="18" t="n"/>
      <c r="G626" s="18" t="n"/>
    </row>
    <row r="627">
      <c r="E627" s="18" t="n"/>
      <c r="F627" s="18" t="n"/>
      <c r="G627" s="18" t="n"/>
    </row>
    <row r="628">
      <c r="E628" s="18" t="n"/>
      <c r="F628" s="18" t="n"/>
      <c r="G628" s="18" t="n"/>
    </row>
    <row r="629">
      <c r="E629" s="18" t="n"/>
      <c r="F629" s="18" t="n"/>
      <c r="G629" s="18" t="n"/>
    </row>
    <row r="630">
      <c r="E630" s="18" t="n"/>
      <c r="F630" s="18" t="n"/>
      <c r="G630" s="18" t="n"/>
    </row>
    <row r="631">
      <c r="E631" s="18" t="n"/>
      <c r="F631" s="18" t="n"/>
      <c r="G631" s="18" t="n"/>
    </row>
    <row r="632">
      <c r="E632" s="18" t="n"/>
      <c r="F632" s="18" t="n"/>
      <c r="G632" s="18" t="n"/>
    </row>
    <row r="633">
      <c r="E633" s="18" t="n"/>
      <c r="F633" s="18" t="n"/>
      <c r="G633" s="18" t="n"/>
    </row>
    <row r="634">
      <c r="E634" s="18" t="n"/>
      <c r="F634" s="18" t="n"/>
      <c r="G634" s="18" t="n"/>
    </row>
    <row r="635">
      <c r="E635" s="18" t="n"/>
      <c r="F635" s="18" t="n"/>
      <c r="G635" s="18" t="n"/>
    </row>
    <row r="636">
      <c r="E636" s="18" t="n"/>
      <c r="F636" s="18" t="n"/>
      <c r="G636" s="18" t="n"/>
    </row>
    <row r="637">
      <c r="E637" s="18" t="n"/>
      <c r="F637" s="18" t="n"/>
      <c r="G637" s="18" t="n"/>
    </row>
    <row r="638">
      <c r="E638" s="18" t="n"/>
      <c r="F638" s="18" t="n"/>
      <c r="G638" s="18" t="n"/>
    </row>
    <row r="639">
      <c r="E639" s="18" t="n"/>
      <c r="F639" s="18" t="n"/>
      <c r="G639" s="18" t="n"/>
    </row>
    <row r="640">
      <c r="E640" s="18" t="n"/>
      <c r="F640" s="18" t="n"/>
      <c r="G640" s="18" t="n"/>
    </row>
    <row r="641">
      <c r="E641" s="18" t="n"/>
      <c r="F641" s="18" t="n"/>
      <c r="G641" s="18" t="n"/>
    </row>
    <row r="642">
      <c r="E642" s="18" t="n"/>
      <c r="F642" s="18" t="n"/>
      <c r="G642" s="18" t="n"/>
    </row>
    <row r="643">
      <c r="E643" s="18" t="n"/>
      <c r="F643" s="18" t="n"/>
      <c r="G643" s="18" t="n"/>
    </row>
    <row r="644">
      <c r="E644" s="18" t="n"/>
      <c r="F644" s="18" t="n"/>
      <c r="G644" s="18" t="n"/>
    </row>
    <row r="645">
      <c r="E645" s="18" t="n"/>
      <c r="F645" s="18" t="n"/>
      <c r="G645" s="18" t="n"/>
    </row>
    <row r="646">
      <c r="E646" s="18" t="n"/>
      <c r="F646" s="18" t="n"/>
      <c r="G646" s="18" t="n"/>
    </row>
    <row r="647">
      <c r="E647" s="18" t="n"/>
      <c r="F647" s="18" t="n"/>
      <c r="G647" s="18" t="n"/>
    </row>
    <row r="648">
      <c r="E648" s="18" t="n"/>
      <c r="F648" s="18" t="n"/>
      <c r="G648" s="18" t="n"/>
    </row>
    <row r="649">
      <c r="E649" s="18" t="n"/>
      <c r="F649" s="18" t="n"/>
      <c r="G649" s="18" t="n"/>
    </row>
    <row r="650">
      <c r="E650" s="18" t="n"/>
      <c r="F650" s="18" t="n"/>
      <c r="G650" s="18" t="n"/>
    </row>
    <row r="651">
      <c r="E651" s="18" t="n"/>
      <c r="F651" s="18" t="n"/>
      <c r="G651" s="18" t="n"/>
    </row>
    <row r="652">
      <c r="E652" s="18" t="n"/>
      <c r="F652" s="18" t="n"/>
      <c r="G652" s="18" t="n"/>
    </row>
    <row r="653">
      <c r="E653" s="18" t="n"/>
      <c r="F653" s="18" t="n"/>
      <c r="G653" s="18" t="n"/>
    </row>
    <row r="654">
      <c r="E654" s="18" t="n"/>
      <c r="F654" s="18" t="n"/>
      <c r="G654" s="18" t="n"/>
    </row>
    <row r="655">
      <c r="E655" s="18" t="n"/>
      <c r="F655" s="18" t="n"/>
      <c r="G655" s="18" t="n"/>
    </row>
    <row r="656">
      <c r="E656" s="18" t="n"/>
      <c r="F656" s="18" t="n"/>
      <c r="G656" s="18" t="n"/>
    </row>
    <row r="657">
      <c r="E657" s="18" t="n"/>
      <c r="F657" s="18" t="n"/>
      <c r="G657" s="18" t="n"/>
    </row>
    <row r="658">
      <c r="E658" s="18" t="n"/>
      <c r="F658" s="18" t="n"/>
      <c r="G658" s="18" t="n"/>
    </row>
    <row r="659">
      <c r="E659" s="18" t="n"/>
      <c r="F659" s="18" t="n"/>
      <c r="G659" s="18" t="n"/>
    </row>
    <row r="660">
      <c r="E660" s="18" t="n"/>
      <c r="F660" s="18" t="n"/>
      <c r="G660" s="18" t="n"/>
    </row>
    <row r="661">
      <c r="E661" s="18" t="n"/>
      <c r="F661" s="18" t="n"/>
      <c r="G661" s="18" t="n"/>
    </row>
    <row r="662">
      <c r="E662" s="18" t="n"/>
      <c r="F662" s="18" t="n"/>
      <c r="G662" s="18" t="n"/>
    </row>
    <row r="663">
      <c r="E663" s="18" t="n"/>
      <c r="F663" s="18" t="n"/>
      <c r="G663" s="18" t="n"/>
    </row>
    <row r="664">
      <c r="E664" s="18" t="n"/>
      <c r="F664" s="18" t="n"/>
      <c r="G664" s="18" t="n"/>
    </row>
    <row r="665">
      <c r="E665" s="18" t="n"/>
      <c r="F665" s="18" t="n"/>
      <c r="G665" s="18" t="n"/>
    </row>
    <row r="666">
      <c r="E666" s="18" t="n"/>
      <c r="F666" s="18" t="n"/>
      <c r="G666" s="18" t="n"/>
    </row>
    <row r="667">
      <c r="E667" s="18" t="n"/>
      <c r="F667" s="18" t="n"/>
      <c r="G667" s="18" t="n"/>
    </row>
    <row r="668">
      <c r="E668" s="18" t="n"/>
      <c r="F668" s="18" t="n"/>
      <c r="G668" s="18" t="n"/>
    </row>
    <row r="669">
      <c r="E669" s="18" t="n"/>
      <c r="F669" s="18" t="n"/>
      <c r="G669" s="18" t="n"/>
    </row>
    <row r="670">
      <c r="E670" s="18" t="n"/>
      <c r="F670" s="18" t="n"/>
      <c r="G670" s="18" t="n"/>
    </row>
    <row r="671">
      <c r="E671" s="18" t="n"/>
      <c r="F671" s="18" t="n"/>
      <c r="G671" s="18" t="n"/>
    </row>
    <row r="672">
      <c r="E672" s="18" t="n"/>
      <c r="F672" s="18" t="n"/>
      <c r="G672" s="18" t="n"/>
    </row>
    <row r="673">
      <c r="E673" s="18" t="n"/>
      <c r="F673" s="18" t="n"/>
      <c r="G673" s="18" t="n"/>
    </row>
    <row r="674">
      <c r="E674" s="18" t="n"/>
      <c r="F674" s="18" t="n"/>
      <c r="G674" s="18" t="n"/>
    </row>
    <row r="675">
      <c r="E675" s="18" t="n"/>
      <c r="F675" s="18" t="n"/>
      <c r="G675" s="18" t="n"/>
    </row>
    <row r="676">
      <c r="E676" s="18" t="n"/>
      <c r="F676" s="18" t="n"/>
      <c r="G676" s="18" t="n"/>
    </row>
    <row r="677">
      <c r="E677" s="18" t="n"/>
      <c r="F677" s="18" t="n"/>
      <c r="G677" s="18" t="n"/>
    </row>
    <row r="678">
      <c r="E678" s="18" t="n"/>
      <c r="F678" s="18" t="n"/>
      <c r="G678" s="18" t="n"/>
    </row>
    <row r="679">
      <c r="E679" s="18" t="n"/>
      <c r="F679" s="18" t="n"/>
      <c r="G679" s="18" t="n"/>
    </row>
    <row r="680">
      <c r="E680" s="18" t="n"/>
      <c r="F680" s="18" t="n"/>
      <c r="G680" s="18" t="n"/>
    </row>
    <row r="681">
      <c r="E681" s="18" t="n"/>
      <c r="F681" s="18" t="n"/>
      <c r="G681" s="18" t="n"/>
    </row>
    <row r="682">
      <c r="E682" s="18" t="n"/>
      <c r="F682" s="18" t="n"/>
      <c r="G682" s="18" t="n"/>
    </row>
    <row r="683">
      <c r="E683" s="18" t="n"/>
      <c r="F683" s="18" t="n"/>
      <c r="G683" s="18" t="n"/>
    </row>
    <row r="684">
      <c r="E684" s="18" t="n"/>
      <c r="F684" s="18" t="n"/>
      <c r="G684" s="18" t="n"/>
    </row>
    <row r="685">
      <c r="E685" s="18" t="n"/>
      <c r="F685" s="18" t="n"/>
      <c r="G685" s="18" t="n"/>
    </row>
    <row r="686">
      <c r="E686" s="18" t="n"/>
      <c r="F686" s="18" t="n"/>
      <c r="G686" s="18" t="n"/>
    </row>
    <row r="687">
      <c r="E687" s="18" t="n"/>
      <c r="F687" s="18" t="n"/>
      <c r="G687" s="18" t="n"/>
    </row>
    <row r="688">
      <c r="E688" s="18" t="n"/>
      <c r="F688" s="18" t="n"/>
      <c r="G688" s="18" t="n"/>
    </row>
    <row r="689">
      <c r="E689" s="18" t="n"/>
      <c r="F689" s="18" t="n"/>
      <c r="G689" s="18" t="n"/>
    </row>
    <row r="690">
      <c r="E690" s="18" t="n"/>
      <c r="F690" s="18" t="n"/>
      <c r="G690" s="18" t="n"/>
    </row>
    <row r="691">
      <c r="E691" s="18" t="n"/>
      <c r="F691" s="18" t="n"/>
      <c r="G691" s="18" t="n"/>
    </row>
    <row r="692">
      <c r="E692" s="18" t="n"/>
      <c r="F692" s="18" t="n"/>
      <c r="G692" s="18" t="n"/>
    </row>
    <row r="693">
      <c r="E693" s="18" t="n"/>
      <c r="F693" s="18" t="n"/>
      <c r="G693" s="18" t="n"/>
    </row>
    <row r="694">
      <c r="E694" s="18" t="n"/>
      <c r="F694" s="18" t="n"/>
      <c r="G694" s="18" t="n"/>
    </row>
    <row r="695">
      <c r="E695" s="18" t="n"/>
      <c r="F695" s="18" t="n"/>
      <c r="G695" s="18" t="n"/>
    </row>
    <row r="696">
      <c r="E696" s="18" t="n"/>
      <c r="F696" s="18" t="n"/>
      <c r="G696" s="18" t="n"/>
    </row>
    <row r="697">
      <c r="E697" s="18" t="n"/>
      <c r="F697" s="18" t="n"/>
      <c r="G697" s="18" t="n"/>
    </row>
    <row r="698">
      <c r="E698" s="18" t="n"/>
      <c r="F698" s="18" t="n"/>
      <c r="G698" s="18" t="n"/>
    </row>
    <row r="699">
      <c r="E699" s="18" t="n"/>
      <c r="F699" s="18" t="n"/>
      <c r="G699" s="18" t="n"/>
    </row>
    <row r="700">
      <c r="E700" s="18" t="n"/>
      <c r="F700" s="18" t="n"/>
      <c r="G700" s="18" t="n"/>
    </row>
    <row r="701">
      <c r="E701" s="18" t="n"/>
      <c r="F701" s="18" t="n"/>
      <c r="G701" s="18" t="n"/>
    </row>
    <row r="702">
      <c r="E702" s="18" t="n"/>
      <c r="F702" s="18" t="n"/>
      <c r="G702" s="18" t="n"/>
    </row>
    <row r="703">
      <c r="E703" s="18" t="n"/>
      <c r="F703" s="18" t="n"/>
      <c r="G703" s="18" t="n"/>
    </row>
    <row r="704">
      <c r="E704" s="18" t="n"/>
      <c r="F704" s="18" t="n"/>
      <c r="G704" s="18" t="n"/>
    </row>
    <row r="705">
      <c r="E705" s="18" t="n"/>
      <c r="F705" s="18" t="n"/>
      <c r="G705" s="18" t="n"/>
    </row>
    <row r="706">
      <c r="E706" s="18" t="n"/>
      <c r="F706" s="18" t="n"/>
      <c r="G706" s="18" t="n"/>
    </row>
    <row r="707">
      <c r="E707" s="18" t="n"/>
      <c r="F707" s="18" t="n"/>
      <c r="G707" s="18" t="n"/>
    </row>
    <row r="708">
      <c r="E708" s="18" t="n"/>
      <c r="F708" s="18" t="n"/>
      <c r="G708" s="18" t="n"/>
    </row>
    <row r="709">
      <c r="E709" s="18" t="n"/>
      <c r="F709" s="18" t="n"/>
      <c r="G709" s="18" t="n"/>
    </row>
    <row r="710">
      <c r="E710" s="18" t="n"/>
      <c r="F710" s="18" t="n"/>
      <c r="G710" s="18" t="n"/>
    </row>
    <row r="711">
      <c r="E711" s="18" t="n"/>
      <c r="F711" s="18" t="n"/>
      <c r="G711" s="18" t="n"/>
    </row>
    <row r="712">
      <c r="E712" s="18" t="n"/>
      <c r="F712" s="18" t="n"/>
      <c r="G712" s="18" t="n"/>
    </row>
    <row r="713">
      <c r="E713" s="18" t="n"/>
      <c r="F713" s="18" t="n"/>
      <c r="G713" s="18" t="n"/>
    </row>
    <row r="714">
      <c r="E714" s="18" t="n"/>
      <c r="F714" s="18" t="n"/>
      <c r="G714" s="18" t="n"/>
    </row>
    <row r="715">
      <c r="E715" s="18" t="n"/>
      <c r="F715" s="18" t="n"/>
      <c r="G715" s="18" t="n"/>
    </row>
    <row r="716">
      <c r="E716" s="18" t="n"/>
      <c r="F716" s="18" t="n"/>
      <c r="G716" s="18" t="n"/>
    </row>
    <row r="717">
      <c r="E717" s="18" t="n"/>
      <c r="F717" s="18" t="n"/>
      <c r="G717" s="18" t="n"/>
    </row>
    <row r="718">
      <c r="E718" s="18" t="n"/>
      <c r="F718" s="18" t="n"/>
      <c r="G718" s="18" t="n"/>
    </row>
    <row r="719">
      <c r="E719" s="18" t="n"/>
      <c r="F719" s="18" t="n"/>
      <c r="G719" s="18" t="n"/>
    </row>
    <row r="720">
      <c r="E720" s="18" t="n"/>
      <c r="F720" s="18" t="n"/>
      <c r="G720" s="18" t="n"/>
    </row>
    <row r="721">
      <c r="E721" s="18" t="n"/>
      <c r="F721" s="18" t="n"/>
      <c r="G721" s="18" t="n"/>
    </row>
    <row r="722">
      <c r="E722" s="18" t="n"/>
      <c r="F722" s="18" t="n"/>
      <c r="G722" s="18" t="n"/>
    </row>
    <row r="723">
      <c r="E723" s="18" t="n"/>
      <c r="F723" s="18" t="n"/>
      <c r="G723" s="18" t="n"/>
    </row>
    <row r="724">
      <c r="E724" s="18" t="n"/>
      <c r="F724" s="18" t="n"/>
      <c r="G724" s="18" t="n"/>
    </row>
    <row r="725">
      <c r="E725" s="18" t="n"/>
      <c r="F725" s="18" t="n"/>
      <c r="G725" s="18" t="n"/>
    </row>
    <row r="726">
      <c r="E726" s="18" t="n"/>
      <c r="F726" s="18" t="n"/>
      <c r="G726" s="18" t="n"/>
    </row>
    <row r="727">
      <c r="E727" s="18" t="n"/>
      <c r="F727" s="18" t="n"/>
      <c r="G727" s="18" t="n"/>
    </row>
    <row r="728">
      <c r="E728" s="18" t="n"/>
      <c r="F728" s="18" t="n"/>
      <c r="G728" s="18" t="n"/>
    </row>
    <row r="729">
      <c r="E729" s="18" t="n"/>
      <c r="F729" s="18" t="n"/>
      <c r="G729" s="18" t="n"/>
    </row>
    <row r="730">
      <c r="E730" s="18" t="n"/>
      <c r="F730" s="18" t="n"/>
      <c r="G730" s="18" t="n"/>
    </row>
    <row r="731">
      <c r="E731" s="18" t="n"/>
      <c r="F731" s="18" t="n"/>
      <c r="G731" s="18" t="n"/>
    </row>
    <row r="732">
      <c r="E732" s="18" t="n"/>
      <c r="F732" s="18" t="n"/>
      <c r="G732" s="18" t="n"/>
    </row>
    <row r="733">
      <c r="E733" s="18" t="n"/>
      <c r="F733" s="18" t="n"/>
      <c r="G733" s="18" t="n"/>
    </row>
    <row r="734">
      <c r="E734" s="18" t="n"/>
      <c r="F734" s="18" t="n"/>
      <c r="G734" s="18" t="n"/>
    </row>
    <row r="735">
      <c r="E735" s="18" t="n"/>
      <c r="F735" s="18" t="n"/>
      <c r="G735" s="18" t="n"/>
    </row>
    <row r="736">
      <c r="E736" s="18" t="n"/>
      <c r="F736" s="18" t="n"/>
      <c r="G736" s="18" t="n"/>
    </row>
    <row r="737">
      <c r="E737" s="18" t="n"/>
      <c r="F737" s="18" t="n"/>
      <c r="G737" s="18" t="n"/>
    </row>
    <row r="738">
      <c r="E738" s="18" t="n"/>
      <c r="F738" s="18" t="n"/>
      <c r="G738" s="18" t="n"/>
    </row>
    <row r="739">
      <c r="E739" s="18" t="n"/>
      <c r="F739" s="18" t="n"/>
      <c r="G739" s="18" t="n"/>
    </row>
    <row r="740">
      <c r="E740" s="18" t="n"/>
      <c r="F740" s="18" t="n"/>
      <c r="G740" s="18" t="n"/>
    </row>
    <row r="741">
      <c r="E741" s="18" t="n"/>
      <c r="F741" s="18" t="n"/>
      <c r="G741" s="18" t="n"/>
    </row>
    <row r="742">
      <c r="E742" s="18" t="n"/>
      <c r="F742" s="18" t="n"/>
      <c r="G742" s="18" t="n"/>
    </row>
    <row r="743">
      <c r="E743" s="18" t="n"/>
      <c r="F743" s="18" t="n"/>
      <c r="G743" s="18" t="n"/>
    </row>
    <row r="744">
      <c r="E744" s="18" t="n"/>
      <c r="F744" s="18" t="n"/>
      <c r="G744" s="18" t="n"/>
    </row>
    <row r="745">
      <c r="E745" s="18" t="n"/>
      <c r="F745" s="18" t="n"/>
      <c r="G745" s="18" t="n"/>
    </row>
    <row r="746">
      <c r="E746" s="18" t="n"/>
      <c r="F746" s="18" t="n"/>
      <c r="G746" s="18" t="n"/>
    </row>
    <row r="747">
      <c r="E747" s="18" t="n"/>
      <c r="F747" s="18" t="n"/>
      <c r="G747" s="18" t="n"/>
    </row>
    <row r="748">
      <c r="E748" s="18" t="n"/>
      <c r="F748" s="18" t="n"/>
      <c r="G748" s="18" t="n"/>
    </row>
    <row r="749">
      <c r="E749" s="18" t="n"/>
      <c r="F749" s="18" t="n"/>
      <c r="G749" s="18" t="n"/>
    </row>
    <row r="750">
      <c r="E750" s="18" t="n"/>
      <c r="F750" s="18" t="n"/>
      <c r="G750" s="18" t="n"/>
    </row>
    <row r="751">
      <c r="E751" s="18" t="n"/>
      <c r="F751" s="18" t="n"/>
      <c r="G751" s="18" t="n"/>
    </row>
    <row r="752">
      <c r="E752" s="18" t="n"/>
      <c r="F752" s="18" t="n"/>
      <c r="G752" s="18" t="n"/>
    </row>
    <row r="753">
      <c r="E753" s="18" t="n"/>
      <c r="F753" s="18" t="n"/>
      <c r="G753" s="18" t="n"/>
    </row>
    <row r="754">
      <c r="E754" s="18" t="n"/>
      <c r="F754" s="18" t="n"/>
      <c r="G754" s="18" t="n"/>
    </row>
    <row r="755">
      <c r="E755" s="18" t="n"/>
      <c r="F755" s="18" t="n"/>
      <c r="G755" s="18" t="n"/>
    </row>
    <row r="756">
      <c r="E756" s="18" t="n"/>
      <c r="F756" s="18" t="n"/>
      <c r="G756" s="18" t="n"/>
    </row>
    <row r="757">
      <c r="E757" s="18" t="n"/>
      <c r="F757" s="18" t="n"/>
      <c r="G757" s="18" t="n"/>
    </row>
    <row r="758">
      <c r="E758" s="18" t="n"/>
      <c r="F758" s="18" t="n"/>
      <c r="G758" s="18" t="n"/>
    </row>
    <row r="759">
      <c r="E759" s="18" t="n"/>
      <c r="F759" s="18" t="n"/>
      <c r="G759" s="18" t="n"/>
    </row>
    <row r="760">
      <c r="E760" s="18" t="n"/>
      <c r="F760" s="18" t="n"/>
      <c r="G760" s="18" t="n"/>
    </row>
    <row r="761">
      <c r="E761" s="18" t="n"/>
      <c r="F761" s="18" t="n"/>
      <c r="G761" s="18" t="n"/>
    </row>
    <row r="762">
      <c r="E762" s="18" t="n"/>
      <c r="F762" s="18" t="n"/>
      <c r="G762" s="18" t="n"/>
    </row>
    <row r="763">
      <c r="E763" s="18" t="n"/>
      <c r="F763" s="18" t="n"/>
      <c r="G763" s="18" t="n"/>
    </row>
    <row r="764">
      <c r="E764" s="18" t="n"/>
      <c r="F764" s="18" t="n"/>
      <c r="G764" s="18" t="n"/>
    </row>
    <row r="765">
      <c r="E765" s="18" t="n"/>
      <c r="F765" s="18" t="n"/>
      <c r="G765" s="18" t="n"/>
    </row>
    <row r="766">
      <c r="E766" s="18" t="n"/>
      <c r="F766" s="18" t="n"/>
      <c r="G766" s="18" t="n"/>
    </row>
    <row r="767">
      <c r="E767" s="18" t="n"/>
      <c r="F767" s="18" t="n"/>
      <c r="G767" s="18" t="n"/>
    </row>
    <row r="768">
      <c r="E768" s="18" t="n"/>
      <c r="F768" s="18" t="n"/>
      <c r="G768" s="18" t="n"/>
    </row>
    <row r="769">
      <c r="E769" s="18" t="n"/>
      <c r="F769" s="18" t="n"/>
      <c r="G769" s="18" t="n"/>
    </row>
    <row r="770">
      <c r="E770" s="18" t="n"/>
      <c r="F770" s="18" t="n"/>
      <c r="G770" s="18" t="n"/>
    </row>
    <row r="771">
      <c r="E771" s="18" t="n"/>
      <c r="F771" s="18" t="n"/>
      <c r="G771" s="18" t="n"/>
    </row>
    <row r="772">
      <c r="E772" s="18" t="n"/>
      <c r="F772" s="18" t="n"/>
      <c r="G772" s="18" t="n"/>
    </row>
    <row r="773">
      <c r="E773" s="18" t="n"/>
      <c r="F773" s="18" t="n"/>
      <c r="G773" s="18" t="n"/>
    </row>
    <row r="774">
      <c r="E774" s="18" t="n"/>
      <c r="F774" s="18" t="n"/>
      <c r="G774" s="18" t="n"/>
    </row>
    <row r="775">
      <c r="E775" s="18" t="n"/>
      <c r="F775" s="18" t="n"/>
      <c r="G775" s="18" t="n"/>
    </row>
    <row r="776">
      <c r="E776" s="18" t="n"/>
      <c r="F776" s="18" t="n"/>
      <c r="G776" s="18" t="n"/>
    </row>
    <row r="777">
      <c r="E777" s="18" t="n"/>
      <c r="F777" s="18" t="n"/>
      <c r="G777" s="18" t="n"/>
    </row>
    <row r="778">
      <c r="E778" s="18" t="n"/>
      <c r="F778" s="18" t="n"/>
      <c r="G778" s="18" t="n"/>
    </row>
    <row r="779">
      <c r="E779" s="18" t="n"/>
      <c r="F779" s="18" t="n"/>
      <c r="G779" s="18" t="n"/>
    </row>
    <row r="780">
      <c r="E780" s="18" t="n"/>
      <c r="F780" s="18" t="n"/>
      <c r="G780" s="18" t="n"/>
    </row>
    <row r="781">
      <c r="E781" s="18" t="n"/>
      <c r="F781" s="18" t="n"/>
      <c r="G781" s="18" t="n"/>
    </row>
    <row r="782">
      <c r="E782" s="18" t="n"/>
      <c r="F782" s="18" t="n"/>
      <c r="G782" s="18" t="n"/>
    </row>
    <row r="783">
      <c r="E783" s="18" t="n"/>
      <c r="F783" s="18" t="n"/>
      <c r="G783" s="18" t="n"/>
    </row>
    <row r="784">
      <c r="E784" s="18" t="n"/>
      <c r="F784" s="18" t="n"/>
      <c r="G784" s="18" t="n"/>
    </row>
    <row r="785">
      <c r="E785" s="18" t="n"/>
      <c r="F785" s="18" t="n"/>
      <c r="G785" s="18" t="n"/>
    </row>
    <row r="786">
      <c r="E786" s="18" t="n"/>
      <c r="F786" s="18" t="n"/>
      <c r="G786" s="18" t="n"/>
    </row>
    <row r="787">
      <c r="E787" s="18" t="n"/>
      <c r="F787" s="18" t="n"/>
      <c r="G787" s="18" t="n"/>
    </row>
    <row r="788">
      <c r="E788" s="18" t="n"/>
      <c r="F788" s="18" t="n"/>
      <c r="G788" s="18" t="n"/>
    </row>
    <row r="789">
      <c r="E789" s="18" t="n"/>
      <c r="F789" s="18" t="n"/>
      <c r="G789" s="18" t="n"/>
    </row>
    <row r="790">
      <c r="E790" s="18" t="n"/>
      <c r="F790" s="18" t="n"/>
      <c r="G790" s="18" t="n"/>
    </row>
    <row r="791">
      <c r="E791" s="18" t="n"/>
      <c r="F791" s="18" t="n"/>
      <c r="G791" s="18" t="n"/>
    </row>
    <row r="792">
      <c r="E792" s="18" t="n"/>
      <c r="F792" s="18" t="n"/>
      <c r="G792" s="18" t="n"/>
    </row>
    <row r="793">
      <c r="E793" s="18" t="n"/>
      <c r="F793" s="18" t="n"/>
      <c r="G793" s="18" t="n"/>
    </row>
    <row r="794">
      <c r="E794" s="18" t="n"/>
      <c r="F794" s="18" t="n"/>
      <c r="G794" s="18" t="n"/>
    </row>
    <row r="795">
      <c r="E795" s="18" t="n"/>
      <c r="F795" s="18" t="n"/>
      <c r="G795" s="18" t="n"/>
    </row>
    <row r="796">
      <c r="E796" s="18" t="n"/>
      <c r="F796" s="18" t="n"/>
      <c r="G796" s="18" t="n"/>
    </row>
    <row r="797">
      <c r="E797" s="18" t="n"/>
      <c r="F797" s="18" t="n"/>
      <c r="G797" s="18" t="n"/>
    </row>
    <row r="798">
      <c r="E798" s="18" t="n"/>
      <c r="F798" s="18" t="n"/>
      <c r="G798" s="18" t="n"/>
    </row>
    <row r="799">
      <c r="E799" s="18" t="n"/>
      <c r="F799" s="18" t="n"/>
      <c r="G799" s="18" t="n"/>
    </row>
    <row r="800">
      <c r="E800" s="18" t="n"/>
      <c r="F800" s="18" t="n"/>
      <c r="G800" s="18" t="n"/>
    </row>
    <row r="801">
      <c r="E801" s="18" t="n"/>
      <c r="F801" s="18" t="n"/>
      <c r="G801" s="18" t="n"/>
    </row>
    <row r="802">
      <c r="E802" s="18" t="n"/>
      <c r="F802" s="18" t="n"/>
      <c r="G802" s="18" t="n"/>
    </row>
    <row r="803">
      <c r="E803" s="18" t="n"/>
      <c r="F803" s="18" t="n"/>
      <c r="G803" s="18" t="n"/>
    </row>
    <row r="804">
      <c r="E804" s="18" t="n"/>
      <c r="F804" s="18" t="n"/>
      <c r="G804" s="18" t="n"/>
    </row>
    <row r="805">
      <c r="E805" s="18" t="n"/>
      <c r="F805" s="18" t="n"/>
      <c r="G805" s="18" t="n"/>
    </row>
    <row r="806">
      <c r="E806" s="18" t="n"/>
      <c r="F806" s="18" t="n"/>
      <c r="G806" s="18" t="n"/>
    </row>
    <row r="807">
      <c r="E807" s="18" t="n"/>
      <c r="F807" s="18" t="n"/>
      <c r="G807" s="18" t="n"/>
    </row>
    <row r="808">
      <c r="E808" s="18" t="n"/>
      <c r="F808" s="18" t="n"/>
      <c r="G808" s="18" t="n"/>
    </row>
    <row r="809">
      <c r="E809" s="18" t="n"/>
      <c r="F809" s="18" t="n"/>
      <c r="G809" s="18" t="n"/>
    </row>
    <row r="810">
      <c r="E810" s="18" t="n"/>
      <c r="F810" s="18" t="n"/>
      <c r="G810" s="18" t="n"/>
    </row>
    <row r="811">
      <c r="E811" s="18" t="n"/>
      <c r="F811" s="18" t="n"/>
      <c r="G811" s="18" t="n"/>
    </row>
    <row r="812">
      <c r="E812" s="18" t="n"/>
      <c r="F812" s="18" t="n"/>
      <c r="G812" s="18" t="n"/>
    </row>
    <row r="813">
      <c r="E813" s="18" t="n"/>
      <c r="F813" s="18" t="n"/>
      <c r="G813" s="18" t="n"/>
    </row>
    <row r="814">
      <c r="E814" s="18" t="n"/>
      <c r="F814" s="18" t="n"/>
      <c r="G814" s="18" t="n"/>
    </row>
    <row r="815">
      <c r="E815" s="18" t="n"/>
      <c r="F815" s="18" t="n"/>
      <c r="G815" s="18" t="n"/>
    </row>
    <row r="816">
      <c r="E816" s="18" t="n"/>
      <c r="F816" s="18" t="n"/>
      <c r="G816" s="18" t="n"/>
    </row>
    <row r="817">
      <c r="E817" s="18" t="n"/>
      <c r="F817" s="18" t="n"/>
      <c r="G817" s="18" t="n"/>
    </row>
    <row r="818">
      <c r="E818" s="18" t="n"/>
      <c r="F818" s="18" t="n"/>
      <c r="G818" s="18" t="n"/>
    </row>
    <row r="819">
      <c r="E819" s="18" t="n"/>
      <c r="F819" s="18" t="n"/>
      <c r="G819" s="18" t="n"/>
    </row>
    <row r="820">
      <c r="E820" s="18" t="n"/>
      <c r="F820" s="18" t="n"/>
      <c r="G820" s="18" t="n"/>
    </row>
    <row r="821">
      <c r="E821" s="18" t="n"/>
      <c r="F821" s="18" t="n"/>
      <c r="G821" s="18" t="n"/>
    </row>
    <row r="822">
      <c r="E822" s="18" t="n"/>
      <c r="F822" s="18" t="n"/>
      <c r="G822" s="18" t="n"/>
    </row>
    <row r="823">
      <c r="E823" s="18" t="n"/>
      <c r="F823" s="18" t="n"/>
      <c r="G823" s="18" t="n"/>
    </row>
    <row r="824">
      <c r="E824" s="18" t="n"/>
      <c r="F824" s="18" t="n"/>
      <c r="G824" s="18" t="n"/>
    </row>
    <row r="825">
      <c r="E825" s="18" t="n"/>
      <c r="F825" s="18" t="n"/>
      <c r="G825" s="18" t="n"/>
    </row>
    <row r="826">
      <c r="E826" s="18" t="n"/>
      <c r="F826" s="18" t="n"/>
      <c r="G826" s="18" t="n"/>
    </row>
    <row r="827">
      <c r="E827" s="18" t="n"/>
      <c r="F827" s="18" t="n"/>
      <c r="G827" s="18" t="n"/>
    </row>
    <row r="828">
      <c r="E828" s="18" t="n"/>
      <c r="F828" s="18" t="n"/>
      <c r="G828" s="18" t="n"/>
    </row>
    <row r="829">
      <c r="E829" s="18" t="n"/>
      <c r="F829" s="18" t="n"/>
      <c r="G829" s="18" t="n"/>
    </row>
    <row r="830">
      <c r="E830" s="18" t="n"/>
      <c r="F830" s="18" t="n"/>
      <c r="G830" s="18" t="n"/>
    </row>
    <row r="831">
      <c r="E831" s="18" t="n"/>
      <c r="F831" s="18" t="n"/>
      <c r="G831" s="18" t="n"/>
    </row>
    <row r="832">
      <c r="E832" s="18" t="n"/>
      <c r="F832" s="18" t="n"/>
      <c r="G832" s="18" t="n"/>
    </row>
    <row r="833">
      <c r="E833" s="18" t="n"/>
      <c r="F833" s="18" t="n"/>
      <c r="G833" s="18" t="n"/>
    </row>
    <row r="834">
      <c r="E834" s="18" t="n"/>
      <c r="F834" s="18" t="n"/>
      <c r="G834" s="18" t="n"/>
    </row>
    <row r="835">
      <c r="E835" s="18" t="n"/>
      <c r="F835" s="18" t="n"/>
      <c r="G835" s="18" t="n"/>
    </row>
    <row r="836">
      <c r="E836" s="18" t="n"/>
      <c r="F836" s="18" t="n"/>
      <c r="G836" s="18" t="n"/>
    </row>
    <row r="837">
      <c r="E837" s="18" t="n"/>
      <c r="F837" s="18" t="n"/>
      <c r="G837" s="18" t="n"/>
    </row>
    <row r="838">
      <c r="E838" s="18" t="n"/>
      <c r="F838" s="18" t="n"/>
      <c r="G838" s="18" t="n"/>
    </row>
    <row r="839">
      <c r="E839" s="18" t="n"/>
      <c r="F839" s="18" t="n"/>
      <c r="G839" s="18" t="n"/>
    </row>
    <row r="840">
      <c r="E840" s="18" t="n"/>
      <c r="F840" s="18" t="n"/>
      <c r="G840" s="18" t="n"/>
    </row>
    <row r="841">
      <c r="E841" s="18" t="n"/>
      <c r="F841" s="18" t="n"/>
      <c r="G841" s="18" t="n"/>
    </row>
    <row r="842">
      <c r="E842" s="18" t="n"/>
      <c r="F842" s="18" t="n"/>
      <c r="G842" s="18" t="n"/>
    </row>
    <row r="843">
      <c r="E843" s="18" t="n"/>
      <c r="F843" s="18" t="n"/>
      <c r="G843" s="18" t="n"/>
    </row>
    <row r="844">
      <c r="E844" s="18" t="n"/>
      <c r="F844" s="18" t="n"/>
      <c r="G844" s="18" t="n"/>
    </row>
    <row r="845">
      <c r="E845" s="18" t="n"/>
      <c r="F845" s="18" t="n"/>
      <c r="G845" s="18" t="n"/>
    </row>
    <row r="846">
      <c r="E846" s="18" t="n"/>
      <c r="F846" s="18" t="n"/>
      <c r="G846" s="18" t="n"/>
    </row>
    <row r="847">
      <c r="E847" s="18" t="n"/>
      <c r="F847" s="18" t="n"/>
      <c r="G847" s="18" t="n"/>
    </row>
    <row r="848">
      <c r="E848" s="18" t="n"/>
      <c r="F848" s="18" t="n"/>
      <c r="G848" s="18" t="n"/>
    </row>
    <row r="849">
      <c r="E849" s="18" t="n"/>
      <c r="F849" s="18" t="n"/>
      <c r="G849" s="18" t="n"/>
    </row>
    <row r="850">
      <c r="E850" s="18" t="n"/>
      <c r="F850" s="18" t="n"/>
      <c r="G850" s="18" t="n"/>
    </row>
    <row r="851">
      <c r="E851" s="18" t="n"/>
      <c r="F851" s="18" t="n"/>
      <c r="G851" s="18" t="n"/>
    </row>
    <row r="852">
      <c r="E852" s="18" t="n"/>
      <c r="F852" s="18" t="n"/>
      <c r="G852" s="18" t="n"/>
    </row>
    <row r="853">
      <c r="E853" s="18" t="n"/>
      <c r="F853" s="18" t="n"/>
      <c r="G853" s="18" t="n"/>
    </row>
    <row r="854">
      <c r="E854" s="18" t="n"/>
      <c r="F854" s="18" t="n"/>
      <c r="G854" s="18" t="n"/>
    </row>
    <row r="855">
      <c r="E855" s="18" t="n"/>
      <c r="F855" s="18" t="n"/>
      <c r="G855" s="18" t="n"/>
    </row>
    <row r="856">
      <c r="E856" s="18" t="n"/>
      <c r="F856" s="18" t="n"/>
      <c r="G856" s="18" t="n"/>
    </row>
    <row r="857">
      <c r="E857" s="18" t="n"/>
      <c r="F857" s="18" t="n"/>
      <c r="G857" s="18" t="n"/>
    </row>
    <row r="858">
      <c r="E858" s="18" t="n"/>
      <c r="F858" s="18" t="n"/>
      <c r="G858" s="18" t="n"/>
    </row>
    <row r="859">
      <c r="E859" s="18" t="n"/>
      <c r="F859" s="18" t="n"/>
      <c r="G859" s="18" t="n"/>
    </row>
    <row r="860">
      <c r="E860" s="18" t="n"/>
      <c r="F860" s="18" t="n"/>
      <c r="G860" s="18" t="n"/>
    </row>
    <row r="861">
      <c r="E861" s="18" t="n"/>
      <c r="F861" s="18" t="n"/>
      <c r="G861" s="18" t="n"/>
    </row>
    <row r="862">
      <c r="E862" s="18" t="n"/>
      <c r="F862" s="18" t="n"/>
      <c r="G862" s="18" t="n"/>
    </row>
    <row r="863">
      <c r="E863" s="18" t="n"/>
      <c r="F863" s="18" t="n"/>
      <c r="G863" s="18" t="n"/>
    </row>
    <row r="864">
      <c r="E864" s="18" t="n"/>
      <c r="F864" s="18" t="n"/>
      <c r="G864" s="18" t="n"/>
    </row>
    <row r="865">
      <c r="E865" s="18" t="n"/>
      <c r="F865" s="18" t="n"/>
      <c r="G865" s="18" t="n"/>
    </row>
    <row r="866">
      <c r="E866" s="18" t="n"/>
      <c r="F866" s="18" t="n"/>
      <c r="G866" s="18" t="n"/>
    </row>
    <row r="867">
      <c r="E867" s="18" t="n"/>
      <c r="F867" s="18" t="n"/>
      <c r="G867" s="18" t="n"/>
    </row>
    <row r="868">
      <c r="E868" s="18" t="n"/>
      <c r="F868" s="18" t="n"/>
      <c r="G868" s="18" t="n"/>
    </row>
    <row r="869">
      <c r="E869" s="18" t="n"/>
      <c r="F869" s="18" t="n"/>
      <c r="G869" s="18" t="n"/>
    </row>
    <row r="870">
      <c r="E870" s="18" t="n"/>
      <c r="F870" s="18" t="n"/>
      <c r="G870" s="18" t="n"/>
    </row>
    <row r="871">
      <c r="E871" s="18" t="n"/>
      <c r="F871" s="18" t="n"/>
      <c r="G871" s="18" t="n"/>
    </row>
    <row r="872">
      <c r="E872" s="18" t="n"/>
      <c r="F872" s="18" t="n"/>
      <c r="G872" s="18" t="n"/>
    </row>
    <row r="873">
      <c r="E873" s="18" t="n"/>
      <c r="F873" s="18" t="n"/>
      <c r="G873" s="18" t="n"/>
    </row>
    <row r="874">
      <c r="E874" s="18" t="n"/>
      <c r="F874" s="18" t="n"/>
      <c r="G874" s="18" t="n"/>
    </row>
    <row r="875">
      <c r="E875" s="18" t="n"/>
      <c r="F875" s="18" t="n"/>
      <c r="G875" s="18" t="n"/>
    </row>
    <row r="876">
      <c r="E876" s="18" t="n"/>
      <c r="F876" s="18" t="n"/>
      <c r="G876" s="18" t="n"/>
    </row>
    <row r="877">
      <c r="E877" s="18" t="n"/>
      <c r="F877" s="18" t="n"/>
      <c r="G877" s="18" t="n"/>
    </row>
    <row r="878">
      <c r="E878" s="18" t="n"/>
      <c r="F878" s="18" t="n"/>
      <c r="G878" s="18" t="n"/>
    </row>
    <row r="879">
      <c r="E879" s="18" t="n"/>
      <c r="F879" s="18" t="n"/>
      <c r="G879" s="18" t="n"/>
    </row>
    <row r="880">
      <c r="E880" s="18" t="n"/>
      <c r="F880" s="18" t="n"/>
      <c r="G880" s="18" t="n"/>
    </row>
    <row r="881">
      <c r="E881" s="18" t="n"/>
      <c r="F881" s="18" t="n"/>
      <c r="G881" s="18" t="n"/>
    </row>
    <row r="882">
      <c r="E882" s="18" t="n"/>
      <c r="F882" s="18" t="n"/>
      <c r="G882" s="18" t="n"/>
    </row>
    <row r="883">
      <c r="E883" s="18" t="n"/>
      <c r="F883" s="18" t="n"/>
      <c r="G883" s="18" t="n"/>
    </row>
    <row r="884">
      <c r="E884" s="18" t="n"/>
      <c r="F884" s="18" t="n"/>
      <c r="G884" s="18" t="n"/>
    </row>
    <row r="885">
      <c r="E885" s="18" t="n"/>
      <c r="F885" s="18" t="n"/>
      <c r="G885" s="18" t="n"/>
    </row>
    <row r="886">
      <c r="E886" s="18" t="n"/>
      <c r="F886" s="18" t="n"/>
      <c r="G886" s="18" t="n"/>
    </row>
    <row r="887">
      <c r="E887" s="18" t="n"/>
      <c r="F887" s="18" t="n"/>
      <c r="G887" s="18" t="n"/>
    </row>
    <row r="888">
      <c r="E888" s="18" t="n"/>
      <c r="F888" s="18" t="n"/>
      <c r="G888" s="18" t="n"/>
    </row>
    <row r="889">
      <c r="E889" s="18" t="n"/>
      <c r="F889" s="18" t="n"/>
      <c r="G889" s="18" t="n"/>
    </row>
    <row r="890">
      <c r="E890" s="18" t="n"/>
      <c r="F890" s="18" t="n"/>
      <c r="G890" s="18" t="n"/>
    </row>
    <row r="891">
      <c r="E891" s="18" t="n"/>
      <c r="F891" s="18" t="n"/>
      <c r="G891" s="18" t="n"/>
    </row>
    <row r="892">
      <c r="E892" s="18" t="n"/>
      <c r="F892" s="18" t="n"/>
      <c r="G892" s="18" t="n"/>
    </row>
    <row r="893">
      <c r="E893" s="18" t="n"/>
      <c r="F893" s="18" t="n"/>
      <c r="G893" s="18" t="n"/>
    </row>
    <row r="894">
      <c r="E894" s="18" t="n"/>
      <c r="F894" s="18" t="n"/>
      <c r="G894" s="18" t="n"/>
    </row>
    <row r="895">
      <c r="E895" s="18" t="n"/>
      <c r="F895" s="18" t="n"/>
      <c r="G895" s="18" t="n"/>
    </row>
    <row r="896">
      <c r="E896" s="18" t="n"/>
      <c r="F896" s="18" t="n"/>
      <c r="G896" s="18" t="n"/>
    </row>
    <row r="897">
      <c r="E897" s="18" t="n"/>
      <c r="F897" s="18" t="n"/>
      <c r="G897" s="18" t="n"/>
    </row>
    <row r="898">
      <c r="E898" s="18" t="n"/>
      <c r="F898" s="18" t="n"/>
      <c r="G898" s="18" t="n"/>
    </row>
    <row r="899">
      <c r="E899" s="18" t="n"/>
      <c r="F899" s="18" t="n"/>
      <c r="G899" s="18" t="n"/>
    </row>
    <row r="900">
      <c r="E900" s="18" t="n"/>
      <c r="F900" s="18" t="n"/>
      <c r="G900" s="18" t="n"/>
    </row>
    <row r="901">
      <c r="E901" s="18" t="n"/>
      <c r="F901" s="18" t="n"/>
      <c r="G901" s="18" t="n"/>
    </row>
    <row r="902">
      <c r="E902" s="18" t="n"/>
      <c r="F902" s="18" t="n"/>
      <c r="G902" s="18" t="n"/>
    </row>
    <row r="903">
      <c r="E903" s="18" t="n"/>
      <c r="F903" s="18" t="n"/>
      <c r="G903" s="18" t="n"/>
    </row>
    <row r="904">
      <c r="E904" s="18" t="n"/>
      <c r="F904" s="18" t="n"/>
      <c r="G904" s="18" t="n"/>
    </row>
    <row r="905">
      <c r="E905" s="18" t="n"/>
      <c r="F905" s="18" t="n"/>
      <c r="G905" s="18" t="n"/>
    </row>
    <row r="906">
      <c r="E906" s="18" t="n"/>
      <c r="F906" s="18" t="n"/>
      <c r="G906" s="18" t="n"/>
    </row>
    <row r="907">
      <c r="E907" s="18" t="n"/>
      <c r="F907" s="18" t="n"/>
      <c r="G907" s="18" t="n"/>
    </row>
    <row r="908">
      <c r="E908" s="18" t="n"/>
      <c r="F908" s="18" t="n"/>
      <c r="G908" s="18" t="n"/>
    </row>
    <row r="909">
      <c r="E909" s="18" t="n"/>
      <c r="F909" s="18" t="n"/>
      <c r="G909" s="18" t="n"/>
    </row>
    <row r="910">
      <c r="E910" s="18" t="n"/>
      <c r="F910" s="18" t="n"/>
      <c r="G910" s="18" t="n"/>
    </row>
    <row r="911">
      <c r="E911" s="18" t="n"/>
      <c r="F911" s="18" t="n"/>
      <c r="G911" s="18" t="n"/>
    </row>
    <row r="912">
      <c r="E912" s="18" t="n"/>
      <c r="F912" s="18" t="n"/>
      <c r="G912" s="18" t="n"/>
    </row>
    <row r="913">
      <c r="E913" s="18" t="n"/>
      <c r="F913" s="18" t="n"/>
      <c r="G913" s="18" t="n"/>
    </row>
    <row r="914">
      <c r="E914" s="18" t="n"/>
      <c r="F914" s="18" t="n"/>
      <c r="G914" s="18" t="n"/>
    </row>
    <row r="915">
      <c r="E915" s="18" t="n"/>
      <c r="F915" s="18" t="n"/>
      <c r="G915" s="18" t="n"/>
    </row>
    <row r="916">
      <c r="E916" s="18" t="n"/>
      <c r="F916" s="18" t="n"/>
      <c r="G916" s="18" t="n"/>
    </row>
    <row r="917">
      <c r="E917" s="18" t="n"/>
      <c r="F917" s="18" t="n"/>
      <c r="G917" s="18" t="n"/>
    </row>
    <row r="918">
      <c r="E918" s="18" t="n"/>
      <c r="F918" s="18" t="n"/>
      <c r="G918" s="18" t="n"/>
    </row>
    <row r="919">
      <c r="E919" s="18" t="n"/>
      <c r="F919" s="18" t="n"/>
      <c r="G919" s="18" t="n"/>
    </row>
    <row r="920">
      <c r="E920" s="18" t="n"/>
      <c r="F920" s="18" t="n"/>
      <c r="G920" s="18" t="n"/>
    </row>
    <row r="921">
      <c r="E921" s="18" t="n"/>
      <c r="F921" s="18" t="n"/>
      <c r="G921" s="18" t="n"/>
    </row>
    <row r="922">
      <c r="E922" s="18" t="n"/>
      <c r="F922" s="18" t="n"/>
      <c r="G922" s="18" t="n"/>
    </row>
    <row r="923">
      <c r="E923" s="18" t="n"/>
      <c r="F923" s="18" t="n"/>
      <c r="G923" s="18" t="n"/>
    </row>
    <row r="924">
      <c r="E924" s="18" t="n"/>
      <c r="F924" s="18" t="n"/>
      <c r="G924" s="18" t="n"/>
    </row>
    <row r="925">
      <c r="E925" s="18" t="n"/>
      <c r="F925" s="18" t="n"/>
      <c r="G925" s="18" t="n"/>
    </row>
    <row r="926">
      <c r="E926" s="18" t="n"/>
      <c r="F926" s="18" t="n"/>
      <c r="G926" s="18" t="n"/>
    </row>
    <row r="927">
      <c r="E927" s="18" t="n"/>
      <c r="F927" s="18" t="n"/>
      <c r="G927" s="18" t="n"/>
    </row>
    <row r="928">
      <c r="E928" s="18" t="n"/>
      <c r="F928" s="18" t="n"/>
      <c r="G928" s="18" t="n"/>
    </row>
    <row r="929">
      <c r="E929" s="18" t="n"/>
      <c r="F929" s="18" t="n"/>
      <c r="G929" s="18" t="n"/>
    </row>
    <row r="930">
      <c r="E930" s="18" t="n"/>
      <c r="F930" s="18" t="n"/>
      <c r="G930" s="18" t="n"/>
    </row>
    <row r="931">
      <c r="E931" s="18" t="n"/>
      <c r="F931" s="18" t="n"/>
      <c r="G931" s="18" t="n"/>
    </row>
    <row r="932">
      <c r="E932" s="18" t="n"/>
      <c r="F932" s="18" t="n"/>
      <c r="G932" s="18" t="n"/>
    </row>
    <row r="933">
      <c r="E933" s="18" t="n"/>
      <c r="F933" s="18" t="n"/>
      <c r="G933" s="18" t="n"/>
    </row>
    <row r="934">
      <c r="E934" s="18" t="n"/>
      <c r="F934" s="18" t="n"/>
      <c r="G934" s="18" t="n"/>
    </row>
    <row r="935">
      <c r="E935" s="18" t="n"/>
      <c r="F935" s="18" t="n"/>
      <c r="G935" s="18" t="n"/>
    </row>
    <row r="936">
      <c r="E936" s="18" t="n"/>
      <c r="F936" s="18" t="n"/>
      <c r="G936" s="18" t="n"/>
    </row>
    <row r="937">
      <c r="E937" s="18" t="n"/>
      <c r="F937" s="18" t="n"/>
      <c r="G937" s="18" t="n"/>
    </row>
    <row r="938">
      <c r="E938" s="18" t="n"/>
      <c r="F938" s="18" t="n"/>
      <c r="G938" s="18" t="n"/>
    </row>
    <row r="939">
      <c r="E939" s="18" t="n"/>
      <c r="F939" s="18" t="n"/>
      <c r="G939" s="18" t="n"/>
    </row>
    <row r="940">
      <c r="E940" s="18" t="n"/>
      <c r="F940" s="18" t="n"/>
      <c r="G940" s="18" t="n"/>
    </row>
    <row r="941">
      <c r="E941" s="18" t="n"/>
      <c r="F941" s="18" t="n"/>
      <c r="G941" s="18" t="n"/>
    </row>
    <row r="942">
      <c r="E942" s="18" t="n"/>
      <c r="F942" s="18" t="n"/>
      <c r="G942" s="18" t="n"/>
    </row>
    <row r="943">
      <c r="E943" s="18" t="n"/>
      <c r="F943" s="18" t="n"/>
      <c r="G943" s="18" t="n"/>
    </row>
    <row r="944">
      <c r="E944" s="18" t="n"/>
      <c r="F944" s="18" t="n"/>
      <c r="G944" s="18" t="n"/>
    </row>
    <row r="945">
      <c r="E945" s="18" t="n"/>
      <c r="F945" s="18" t="n"/>
      <c r="G945" s="18" t="n"/>
    </row>
    <row r="946">
      <c r="E946" s="18" t="n"/>
      <c r="F946" s="18" t="n"/>
      <c r="G946" s="18" t="n"/>
    </row>
    <row r="947">
      <c r="E947" s="18" t="n"/>
      <c r="F947" s="18" t="n"/>
      <c r="G947" s="18" t="n"/>
    </row>
    <row r="948">
      <c r="E948" s="18" t="n"/>
      <c r="F948" s="18" t="n"/>
      <c r="G948" s="18" t="n"/>
    </row>
    <row r="949">
      <c r="E949" s="18" t="n"/>
      <c r="F949" s="18" t="n"/>
      <c r="G949" s="18" t="n"/>
    </row>
    <row r="950">
      <c r="E950" s="18" t="n"/>
      <c r="F950" s="18" t="n"/>
      <c r="G950" s="18" t="n"/>
    </row>
    <row r="951">
      <c r="E951" s="18" t="n"/>
      <c r="F951" s="18" t="n"/>
      <c r="G951" s="18" t="n"/>
    </row>
    <row r="952">
      <c r="E952" s="18" t="n"/>
      <c r="F952" s="18" t="n"/>
      <c r="G952" s="18" t="n"/>
    </row>
    <row r="953">
      <c r="E953" s="18" t="n"/>
      <c r="F953" s="18" t="n"/>
      <c r="G953" s="18" t="n"/>
    </row>
    <row r="954">
      <c r="E954" s="18" t="n"/>
      <c r="F954" s="18" t="n"/>
      <c r="G954" s="18" t="n"/>
    </row>
    <row r="955">
      <c r="E955" s="18" t="n"/>
      <c r="F955" s="18" t="n"/>
      <c r="G955" s="18" t="n"/>
    </row>
    <row r="956">
      <c r="E956" s="18" t="n"/>
      <c r="F956" s="18" t="n"/>
      <c r="G956" s="18" t="n"/>
    </row>
    <row r="957">
      <c r="E957" s="18" t="n"/>
      <c r="F957" s="18" t="n"/>
      <c r="G957" s="18" t="n"/>
    </row>
    <row r="958">
      <c r="E958" s="18" t="n"/>
      <c r="F958" s="18" t="n"/>
      <c r="G958" s="18" t="n"/>
    </row>
    <row r="959">
      <c r="E959" s="18" t="n"/>
      <c r="F959" s="18" t="n"/>
      <c r="G959" s="18" t="n"/>
    </row>
    <row r="960">
      <c r="E960" s="18" t="n"/>
      <c r="F960" s="18" t="n"/>
      <c r="G960" s="18" t="n"/>
    </row>
    <row r="961">
      <c r="E961" s="18" t="n"/>
      <c r="F961" s="18" t="n"/>
      <c r="G961" s="18" t="n"/>
    </row>
    <row r="962">
      <c r="E962" s="18" t="n"/>
      <c r="F962" s="18" t="n"/>
      <c r="G962" s="18" t="n"/>
    </row>
    <row r="963">
      <c r="E963" s="18" t="n"/>
      <c r="F963" s="18" t="n"/>
      <c r="G963" s="18" t="n"/>
    </row>
    <row r="964">
      <c r="E964" s="18" t="n"/>
      <c r="F964" s="18" t="n"/>
      <c r="G964" s="18" t="n"/>
    </row>
    <row r="965">
      <c r="E965" s="18" t="n"/>
      <c r="F965" s="18" t="n"/>
      <c r="G965" s="18" t="n"/>
    </row>
    <row r="966">
      <c r="E966" s="18" t="n"/>
      <c r="F966" s="18" t="n"/>
      <c r="G966" s="18" t="n"/>
    </row>
    <row r="967">
      <c r="E967" s="18" t="n"/>
      <c r="F967" s="18" t="n"/>
      <c r="G967" s="18" t="n"/>
    </row>
    <row r="968">
      <c r="E968" s="18" t="n"/>
      <c r="F968" s="18" t="n"/>
      <c r="G968" s="18" t="n"/>
    </row>
    <row r="969">
      <c r="E969" s="18" t="n"/>
      <c r="F969" s="18" t="n"/>
      <c r="G969" s="18" t="n"/>
    </row>
    <row r="970">
      <c r="E970" s="18" t="n"/>
      <c r="F970" s="18" t="n"/>
      <c r="G970" s="18" t="n"/>
    </row>
    <row r="971">
      <c r="E971" s="18" t="n"/>
      <c r="F971" s="18" t="n"/>
      <c r="G971" s="18" t="n"/>
    </row>
    <row r="972">
      <c r="E972" s="18" t="n"/>
      <c r="F972" s="18" t="n"/>
      <c r="G972" s="18" t="n"/>
    </row>
    <row r="973">
      <c r="E973" s="18" t="n"/>
      <c r="F973" s="18" t="n"/>
      <c r="G973" s="18" t="n"/>
    </row>
    <row r="974">
      <c r="E974" s="18" t="n"/>
      <c r="F974" s="18" t="n"/>
      <c r="G974" s="18" t="n"/>
    </row>
    <row r="975">
      <c r="E975" s="18" t="n"/>
      <c r="F975" s="18" t="n"/>
      <c r="G975" s="18" t="n"/>
    </row>
    <row r="976">
      <c r="E976" s="18" t="n"/>
      <c r="F976" s="18" t="n"/>
      <c r="G976" s="18" t="n"/>
    </row>
    <row r="977">
      <c r="E977" s="18" t="n"/>
      <c r="F977" s="18" t="n"/>
      <c r="G977" s="18" t="n"/>
    </row>
    <row r="978">
      <c r="E978" s="18" t="n"/>
      <c r="F978" s="18" t="n"/>
      <c r="G978" s="18" t="n"/>
    </row>
    <row r="979">
      <c r="E979" s="18" t="n"/>
      <c r="F979" s="18" t="n"/>
      <c r="G979" s="18" t="n"/>
    </row>
    <row r="980">
      <c r="E980" s="18" t="n"/>
      <c r="F980" s="18" t="n"/>
      <c r="G980" s="18" t="n"/>
    </row>
    <row r="981">
      <c r="A981" s="24" t="n"/>
      <c r="B981" s="0" t="n"/>
      <c r="C981" s="0" t="n"/>
      <c r="D981" s="0" t="n"/>
      <c r="E981" s="0" t="n"/>
      <c r="F981" s="0" t="n"/>
      <c r="G981" s="0" t="n"/>
      <c r="H981" s="0" t="n"/>
      <c r="I981" s="0" t="n"/>
    </row>
    <row r="982">
      <c r="A982" s="24" t="n"/>
      <c r="B982" s="0" t="n"/>
      <c r="C982" s="0" t="n"/>
      <c r="D982" s="0" t="n"/>
      <c r="E982" s="0" t="n"/>
      <c r="F982" s="0" t="n"/>
      <c r="G982" s="0" t="n"/>
      <c r="H982" s="0" t="n"/>
      <c r="I982" s="0" t="n"/>
    </row>
    <row r="983">
      <c r="A983" s="24" t="n"/>
      <c r="B983" s="0" t="n"/>
      <c r="C983" s="0" t="n"/>
      <c r="D983" s="0" t="n"/>
      <c r="E983" s="0" t="n"/>
      <c r="F983" s="0" t="n"/>
      <c r="G983" s="0" t="n"/>
      <c r="H983" s="0" t="n"/>
      <c r="I983" s="0" t="n"/>
    </row>
    <row r="984">
      <c r="A984" s="24" t="n"/>
      <c r="B984" s="0" t="n"/>
      <c r="C984" s="0" t="n"/>
      <c r="D984" s="0" t="n"/>
      <c r="E984" s="0" t="n"/>
      <c r="F984" s="0" t="n"/>
      <c r="G984" s="0" t="n"/>
      <c r="H984" s="0" t="n"/>
      <c r="I984" s="0" t="n"/>
    </row>
    <row r="985">
      <c r="A985" s="24" t="n"/>
      <c r="B985" s="0" t="n"/>
      <c r="C985" s="0" t="n"/>
      <c r="D985" s="0" t="n"/>
      <c r="E985" s="0" t="n"/>
      <c r="F985" s="0" t="n"/>
      <c r="G985" s="0" t="n"/>
      <c r="H985" s="0" t="n"/>
      <c r="I985" s="0" t="n"/>
    </row>
    <row r="986">
      <c r="A986" s="25" t="n">
        <v>46270</v>
      </c>
      <c r="B986" s="0" t="inlineStr">
        <is>
          <t>AP-15283</t>
        </is>
      </c>
      <c r="C986" s="0" t="inlineStr">
        <is>
          <t>Opire / Stripe</t>
        </is>
      </c>
      <c r="D986" s="0" t="inlineStr">
        <is>
          <t>activepieces/activepieces (PR #15283: test(shared): add seek-page pagination utility assertion specs)</t>
        </is>
      </c>
      <c r="E986" s="0" t="n">
        <v>200</v>
      </c>
      <c r="F986" s="0" t="n">
        <v>0</v>
      </c>
      <c r="G986" s="0" t="n">
        <v>200</v>
      </c>
      <c r="H986" s="0" t="inlineStr">
        <is>
          <t>Bounty Revenue</t>
        </is>
      </c>
      <c r="I986" s="0" t="inlineStr">
        <is>
          <t>Pending Merge</t>
        </is>
      </c>
    </row>
    <row r="987">
      <c r="A987" s="24" t="n">
        <v>46270</v>
      </c>
      <c r="B987" s="0" t="inlineStr">
        <is>
          <t>PD-SUB-1840</t>
        </is>
      </c>
      <c r="C987" s="0" t="inlineStr">
        <is>
          <t>Opire / Stripe</t>
        </is>
      </c>
      <c r="D987" s="0" t="inlineStr">
        <is>
          <t>projectdiscovery/subfinder (PR #1857: test(subfinder): add domain sanitization and wildcard prefix parsing assertions)</t>
        </is>
      </c>
      <c r="E987" s="0" t="n">
        <v>200</v>
      </c>
      <c r="F987" s="0" t="n">
        <v>0</v>
      </c>
      <c r="G987" s="0" t="n">
        <v>200</v>
      </c>
      <c r="H987" s="0" t="inlineStr">
        <is>
          <t>Bounty Revenue</t>
        </is>
      </c>
      <c r="I987" s="0" t="inlineStr">
        <is>
          <t>Pending Merge</t>
        </is>
      </c>
    </row>
    <row r="988">
      <c r="A988" s="24" t="n">
        <v>46270</v>
      </c>
      <c r="B988" s="0" t="inlineStr">
        <is>
          <t>TSC-CORE-3650</t>
        </is>
      </c>
      <c r="C988" s="0" t="inlineStr">
        <is>
          <t>Opire / Stripe</t>
        </is>
      </c>
      <c r="D988" s="0" t="inlineStr">
        <is>
          <t>tscircuit/core (PR #3662: test(core): add schematic port offset calculations and pin clearance bounds specs)</t>
        </is>
      </c>
      <c r="E988" s="0" t="n">
        <v>250</v>
      </c>
      <c r="F988" s="0" t="n">
        <v>0</v>
      </c>
      <c r="G988" s="0" t="n">
        <v>250</v>
      </c>
      <c r="H988" s="0" t="inlineStr">
        <is>
          <t>Bounty Revenue</t>
        </is>
      </c>
      <c r="I988" s="0" t="inlineStr">
        <is>
          <t>Pending Merge</t>
        </is>
      </c>
    </row>
    <row r="989">
      <c r="A989" s="24" t="n">
        <v>46270</v>
      </c>
      <c r="B989" s="0" t="inlineStr">
        <is>
          <t>CAL-30115</t>
        </is>
      </c>
      <c r="C989" s="0" t="inlineStr">
        <is>
          <t>Opire / Stripe</t>
        </is>
      </c>
      <c r="D989" s="0" t="inlineStr">
        <is>
          <t>calcom/cal.diy (PR #30098: test(lib): add timezone timestamp normalization and duration coalescing unit tests)</t>
        </is>
      </c>
      <c r="E989" s="0" t="n">
        <v>200</v>
      </c>
      <c r="F989" s="0" t="n">
        <v>0</v>
      </c>
      <c r="G989" s="0" t="n">
        <v>200</v>
      </c>
      <c r="H989" s="0" t="inlineStr">
        <is>
          <t>Bounty Revenue</t>
        </is>
      </c>
      <c r="I989" s="0" t="inlineStr">
        <is>
          <t>Pending Merge</t>
        </is>
      </c>
    </row>
    <row r="990">
      <c r="A990" s="24" t="n">
        <v>46270</v>
      </c>
      <c r="B990" s="0" t="inlineStr">
        <is>
          <t>PERMIFY-3145</t>
        </is>
      </c>
      <c r="C990" s="0" t="inlineStr">
        <is>
          <t>Opire / Stripe</t>
        </is>
      </c>
      <c r="D990" s="0" t="inlineStr">
        <is>
          <t>Permify/permify (PR #3139: test(validation): add entity tuple namespace formatting and permission identifier assertions)</t>
        </is>
      </c>
      <c r="E990" s="0" t="n">
        <v>250</v>
      </c>
      <c r="F990" s="0" t="n">
        <v>0</v>
      </c>
      <c r="G990" s="0" t="n">
        <v>250</v>
      </c>
      <c r="H990" s="0" t="inlineStr">
        <is>
          <t>Bounty Revenue</t>
        </is>
      </c>
      <c r="I990" s="0" t="inlineStr">
        <is>
          <t>Pending Merge</t>
        </is>
      </c>
    </row>
    <row r="991">
      <c r="A991" s="24" t="n">
        <v>46270</v>
      </c>
      <c r="B991" s="0" t="inlineStr">
        <is>
          <t>LILLY-390</t>
        </is>
      </c>
      <c r="C991" s="0" t="inlineStr">
        <is>
          <t>Opire / Stripe</t>
        </is>
      </c>
      <c r="D991" s="0" t="inlineStr">
        <is>
          <t>Lilly-Protocol/lily-contracts (PR #388: test(escrow): add milestone basis-point settlement calculation and dispute timeout invariant specs)</t>
        </is>
      </c>
      <c r="E991" s="0" t="n">
        <v>250</v>
      </c>
      <c r="F991" s="0" t="n">
        <v>0</v>
      </c>
      <c r="G991" s="0" t="n">
        <v>250</v>
      </c>
      <c r="H991" s="0" t="inlineStr">
        <is>
          <t>Bounty Revenue</t>
        </is>
      </c>
      <c r="I991" s="0" t="inlineStr">
        <is>
          <t>Pending Merge</t>
        </is>
      </c>
    </row>
    <row r="992">
      <c r="A992" s="24" t="n">
        <v>46270</v>
      </c>
      <c r="B992" s="0" t="inlineStr">
        <is>
          <t>KEEP-6790</t>
        </is>
      </c>
      <c r="C992" s="0" t="inlineStr">
        <is>
          <t>Opire / Stripe</t>
        </is>
      </c>
      <c r="D992" s="0" t="inlineStr">
        <is>
          <t>keephq/keep (PR #6763: test(rulesengine): add alert severity escalation threshold and fingerprint normalization assertions)</t>
        </is>
      </c>
      <c r="E992" s="0" t="n">
        <v>200</v>
      </c>
      <c r="F992" s="0" t="n">
        <v>0</v>
      </c>
      <c r="G992" s="0" t="n">
        <v>200</v>
      </c>
      <c r="H992" s="0" t="inlineStr">
        <is>
          <t>Bounty Revenue</t>
        </is>
      </c>
      <c r="I992" s="0" t="inlineStr">
        <is>
          <t>Pending Merge</t>
        </is>
      </c>
    </row>
    <row r="993">
      <c r="A993" s="24" t="n">
        <v>46270</v>
      </c>
      <c r="B993" s="0" t="inlineStr">
        <is>
          <t>PD-KAT-1120</t>
        </is>
      </c>
      <c r="C993" s="0" t="inlineStr">
        <is>
          <t>Opire / Stripe</t>
        </is>
      </c>
      <c r="D993" s="0" t="inlineStr">
        <is>
          <t>projectdiscovery/katana (PR #1809: test(navigation): add crawler protocol filtering and query parameter deduplication test suite)</t>
        </is>
      </c>
      <c r="E993" s="0" t="n">
        <v>200</v>
      </c>
      <c r="F993" s="0" t="n">
        <v>0</v>
      </c>
      <c r="G993" s="0" t="n">
        <v>200</v>
      </c>
      <c r="H993" s="0" t="inlineStr">
        <is>
          <t>Bounty Revenue</t>
        </is>
      </c>
      <c r="I993" s="0" t="inlineStr">
        <is>
          <t>Pending Merge</t>
        </is>
      </c>
    </row>
    <row r="994">
      <c r="A994" s="24" t="n">
        <v>46270</v>
      </c>
      <c r="B994" s="0" t="inlineStr">
        <is>
          <t>TSC-SOLV-1070</t>
        </is>
      </c>
      <c r="C994" s="0" t="inlineStr">
        <is>
          <t>Opire / Stripe</t>
        </is>
      </c>
      <c r="D994" s="0" t="inlineStr">
        <is>
          <t>tscircuit/schematic-trace-solver (PR #1066: test(solver): add Manhattan trace cost heuristic and obstacle collision avoidance specs)</t>
        </is>
      </c>
      <c r="E994" s="0" t="n">
        <v>250</v>
      </c>
      <c r="F994" s="0" t="n">
        <v>0</v>
      </c>
      <c r="G994" s="0" t="n">
        <v>250</v>
      </c>
      <c r="H994" s="0" t="inlineStr">
        <is>
          <t>Bounty Revenue</t>
        </is>
      </c>
      <c r="I994" s="0" t="inlineStr">
        <is>
          <t>Pending Merge</t>
        </is>
      </c>
    </row>
    <row r="995">
      <c r="A995" s="24" t="n">
        <v>46270</v>
      </c>
      <c r="B995" s="0" t="inlineStr">
        <is>
          <t>LILLY-405</t>
        </is>
      </c>
      <c r="C995" s="0" t="inlineStr">
        <is>
          <t>Opire / Stripe</t>
        </is>
      </c>
      <c r="D995" s="0" t="inlineStr">
        <is>
          <t>Lilly-Protocol/lily-contracts (PR #389: test(escrow): add multi-sig quorum threshold and cancellation penalty settlement invariant specs)</t>
        </is>
      </c>
      <c r="E995" s="0" t="n">
        <v>250</v>
      </c>
      <c r="F995" s="0" t="n">
        <v>0</v>
      </c>
      <c r="G995" s="0" t="n">
        <v>250</v>
      </c>
      <c r="H995" s="0" t="inlineStr">
        <is>
          <t>Bounty Revenue</t>
        </is>
      </c>
      <c r="I995" s="0" t="inlineStr">
        <is>
          <t>Pending Merge</t>
        </is>
      </c>
    </row>
    <row r="996">
      <c r="A996" s="24" t="n">
        <v>46270</v>
      </c>
      <c r="B996" s="0" t="inlineStr">
        <is>
          <t>PERMIFY-3150</t>
        </is>
      </c>
      <c r="C996" s="0" t="inlineStr">
        <is>
          <t>Opire / Stripe</t>
        </is>
      </c>
      <c r="D996" s="0" t="inlineStr">
        <is>
          <t>Permify/permify (PR #3140: test(validation): add multi-tenant ID format sanitization and recursion depth boundary assertions)</t>
        </is>
      </c>
      <c r="E996" s="0" t="n">
        <v>250</v>
      </c>
      <c r="F996" s="0" t="n">
        <v>0</v>
      </c>
      <c r="G996" s="0" t="n">
        <v>250</v>
      </c>
      <c r="H996" s="0" t="inlineStr">
        <is>
          <t>Bounty Revenue</t>
        </is>
      </c>
      <c r="I996" s="0" t="inlineStr">
        <is>
          <t>Pending Merge</t>
        </is>
      </c>
    </row>
    <row r="997">
      <c r="A997" s="24" t="n">
        <v>46270</v>
      </c>
      <c r="B997" s="0" t="inlineStr">
        <is>
          <t>PD-SUB-1875</t>
        </is>
      </c>
      <c r="C997" s="0" t="inlineStr">
        <is>
          <t>Opire / Stripe</t>
        </is>
      </c>
      <c r="D997" s="0" t="inlineStr">
        <is>
          <t>projectdiscovery/subfinder (PR #1858: test(subfinder): add round-robin resolver pool distribution and domain length boundary assertions)</t>
        </is>
      </c>
      <c r="E997" s="0" t="n">
        <v>200</v>
      </c>
      <c r="F997" s="0" t="n">
        <v>0</v>
      </c>
      <c r="G997" s="0" t="n">
        <v>200</v>
      </c>
      <c r="H997" s="0" t="inlineStr">
        <is>
          <t>Bounty Revenue</t>
        </is>
      </c>
      <c r="I997" s="0" t="inlineStr">
        <is>
          <t>Pending Merge</t>
        </is>
      </c>
    </row>
    <row r="998">
      <c r="A998" s="24" t="n">
        <v>46270</v>
      </c>
      <c r="B998" s="0" t="inlineStr">
        <is>
          <t>PERMIFY-3160</t>
        </is>
      </c>
      <c r="C998" s="0" t="inlineStr">
        <is>
          <t>Opire / Stripe</t>
        </is>
      </c>
      <c r="D998" s="0" t="inlineStr">
        <is>
          <t>Permify/permify (PR #3141: test(validation): add self-referential relation cycle detection and permission union deduplication assertions)</t>
        </is>
      </c>
      <c r="E998" s="0" t="n">
        <v>250</v>
      </c>
      <c r="F998" s="0" t="n">
        <v>0</v>
      </c>
      <c r="G998" s="0" t="n">
        <v>250</v>
      </c>
      <c r="H998" s="0" t="inlineStr">
        <is>
          <t>Bounty Revenue</t>
        </is>
      </c>
      <c r="I998" s="0" t="inlineStr">
        <is>
          <t>Pending Merge</t>
        </is>
      </c>
    </row>
    <row r="999">
      <c r="A999" s="24" t="n">
        <v>46270</v>
      </c>
      <c r="B999" s="0" t="inlineStr">
        <is>
          <t>LILLY-420</t>
        </is>
      </c>
      <c r="C999" s="0" t="inlineStr">
        <is>
          <t>Opire / Stripe</t>
        </is>
      </c>
      <c r="D999" s="0" t="inlineStr">
        <is>
          <t>Lilly-Protocol/lily-contracts (PR #390: test(escrow): add tiered milestone release schedule and arbitration fee split invariant specs)</t>
        </is>
      </c>
      <c r="E999" s="0" t="n">
        <v>250</v>
      </c>
      <c r="F999" s="0" t="n">
        <v>0</v>
      </c>
      <c r="G999" s="0" t="n">
        <v>250</v>
      </c>
      <c r="H999" s="0" t="inlineStr">
        <is>
          <t>Bounty Revenue</t>
        </is>
      </c>
      <c r="I999" s="0" t="inlineStr">
        <is>
          <t>Pending Merge</t>
        </is>
      </c>
    </row>
    <row r="1000">
      <c r="A1000" s="24" t="n">
        <v>46270</v>
      </c>
      <c r="B1000" s="0" t="inlineStr">
        <is>
          <t>KEEP-6810</t>
        </is>
      </c>
      <c r="C1000" s="0" t="inlineStr">
        <is>
          <t>Opire / Stripe</t>
        </is>
      </c>
      <c r="D1000" s="0" t="inlineStr">
        <is>
          <t>keephq/keep (PR #6764: test(rulesengine): add alert debounce window suppression and severity weight ordering specs)</t>
        </is>
      </c>
      <c r="E1000" s="0" t="n">
        <v>200</v>
      </c>
      <c r="F1000" s="0" t="n">
        <v>0</v>
      </c>
      <c r="G1000" s="0" t="n">
        <v>200</v>
      </c>
      <c r="H1000" s="0" t="inlineStr">
        <is>
          <t>Bounty Revenue</t>
        </is>
      </c>
      <c r="I1000" s="0" t="inlineStr">
        <is>
          <t>Pending Merge</t>
        </is>
      </c>
    </row>
    <row r="1001">
      <c r="A1001" s="24" t="n">
        <v>46270</v>
      </c>
      <c r="B1001" s="0" t="inlineStr">
        <is>
          <t>TSC-SOLV-1090</t>
        </is>
      </c>
      <c r="C1001" s="0" t="inlineStr">
        <is>
          <t>Opire / Stripe</t>
        </is>
      </c>
      <c r="D1001" s="0" t="inlineStr">
        <is>
          <t>tscircuit/schematic-trace-solver (PR #1067: test(solver): add PCB via drill clearance radius and via-to-trace collision detection specs)</t>
        </is>
      </c>
      <c r="E1001" s="0" t="n">
        <v>250</v>
      </c>
      <c r="F1001" s="0" t="n">
        <v>0</v>
      </c>
      <c r="G1001" s="0" t="n">
        <v>250</v>
      </c>
      <c r="H1001" s="0" t="inlineStr">
        <is>
          <t>Bounty Revenue</t>
        </is>
      </c>
      <c r="I1001" s="0" t="inlineStr">
        <is>
          <t>Pending Merge</t>
        </is>
      </c>
    </row>
    <row r="1002">
      <c r="A1002" s="24" t="n">
        <v>46270</v>
      </c>
      <c r="B1002" s="0" t="inlineStr">
        <is>
          <t>PD-KAT-1150</t>
        </is>
      </c>
      <c r="C1002" s="0" t="inlineStr">
        <is>
          <t>Opire / Stripe</t>
        </is>
      </c>
      <c r="D1002" s="0" t="inlineStr">
        <is>
          <t>projectdiscovery/katana (PR #1810: test(navigation): add static asset extension filtering and crawler crawl budget limit assertions)</t>
        </is>
      </c>
      <c r="E1002" s="0" t="n">
        <v>200</v>
      </c>
      <c r="F1002" s="0" t="n">
        <v>0</v>
      </c>
      <c r="G1002" s="0" t="n">
        <v>200</v>
      </c>
      <c r="H1002" s="0" t="inlineStr">
        <is>
          <t>Bounty Revenue</t>
        </is>
      </c>
      <c r="I1002" s="0" t="inlineStr">
        <is>
          <t>Pending Merge</t>
        </is>
      </c>
    </row>
    <row r="1003">
      <c r="A1003" s="24" t="n">
        <v>46270</v>
      </c>
      <c r="B1003" s="0" t="inlineStr">
        <is>
          <t>PERMIFY-3170</t>
        </is>
      </c>
      <c r="C1003" s="0" t="inlineStr">
        <is>
          <t>Opire / Stripe</t>
        </is>
      </c>
      <c r="D1003" s="0" t="inlineStr">
        <is>
          <t>Permify/permify (PR #3142: test(validation): add snap token TTL validation and permission cache key generator assertions)</t>
        </is>
      </c>
      <c r="E1003" s="0" t="n">
        <v>250</v>
      </c>
      <c r="F1003" s="0" t="n">
        <v>0</v>
      </c>
      <c r="G1003" s="0" t="n">
        <v>250</v>
      </c>
      <c r="H1003" s="0" t="inlineStr">
        <is>
          <t>Bounty Revenue</t>
        </is>
      </c>
      <c r="I1003" s="0" t="inlineStr">
        <is>
          <t>Pending Merge</t>
        </is>
      </c>
    </row>
    <row r="1004">
      <c r="A1004" s="24" t="n">
        <v>46270</v>
      </c>
      <c r="B1004" s="0" t="inlineStr">
        <is>
          <t>TSC-SOLV-1110</t>
        </is>
      </c>
      <c r="C1004" s="0" t="inlineStr">
        <is>
          <t>Opire / Stripe</t>
        </is>
      </c>
      <c r="D1004" s="0" t="inlineStr">
        <is>
          <t>tscircuit/schematic-trace-solver (PR #1068: test(solver): add differential pair trace skew length matching and parallel clearance specs)</t>
        </is>
      </c>
      <c r="E1004" s="0" t="n">
        <v>250</v>
      </c>
      <c r="F1004" s="0" t="n">
        <v>0</v>
      </c>
      <c r="G1004" s="0" t="n">
        <v>250</v>
      </c>
      <c r="H1004" s="0" t="inlineStr">
        <is>
          <t>Bounty Revenue</t>
        </is>
      </c>
      <c r="I1004" s="0" t="inlineStr">
        <is>
          <t>Pending Merge</t>
        </is>
      </c>
    </row>
    <row r="1005">
      <c r="A1005" s="24" t="n">
        <v>46270</v>
      </c>
      <c r="B1005" s="0" t="inlineStr">
        <is>
          <t>KEEP-6830</t>
        </is>
      </c>
      <c r="C1005" s="0" t="inlineStr">
        <is>
          <t>Opire / Stripe</t>
        </is>
      </c>
      <c r="D1005" s="0" t="inlineStr">
        <is>
          <t>keephq/keep (PR #6765: test(rulesengine): add webhook HMAC-SHA256 signature verification and replay drift specs)</t>
        </is>
      </c>
      <c r="E1005" s="0" t="n">
        <v>200</v>
      </c>
      <c r="F1005" s="0" t="n">
        <v>0</v>
      </c>
      <c r="G1005" s="0" t="n">
        <v>200</v>
      </c>
      <c r="H1005" s="0" t="inlineStr">
        <is>
          <t>Bounty Revenue</t>
        </is>
      </c>
      <c r="I1005" s="0" t="inlineStr">
        <is>
          <t>Pending Merge</t>
        </is>
      </c>
    </row>
    <row r="1006">
      <c r="A1006" s="24" t="n">
        <v>46270</v>
      </c>
      <c r="B1006" s="0" t="inlineStr">
        <is>
          <t>LILLY-435</t>
        </is>
      </c>
      <c r="C1006" s="0" t="inlineStr">
        <is>
          <t>Opire / Stripe</t>
        </is>
      </c>
      <c r="D1006" s="0" t="inlineStr">
        <is>
          <t>Lilly-Protocol/lily-contracts (PR #394: test(escrow): add challenge timelock unlock window and emergency pause state guard specs)</t>
        </is>
      </c>
      <c r="E1006" s="0" t="n">
        <v>250</v>
      </c>
      <c r="F1006" s="0" t="n">
        <v>0</v>
      </c>
      <c r="G1006" s="0" t="n">
        <v>250</v>
      </c>
      <c r="H1006" s="0" t="inlineStr">
        <is>
          <t>Bounty Revenue</t>
        </is>
      </c>
      <c r="I1006" s="0" t="inlineStr">
        <is>
          <t>Pending Merge</t>
        </is>
      </c>
    </row>
    <row r="1007">
      <c r="A1007" s="24" t="n">
        <v>46270</v>
      </c>
      <c r="B1007" s="0" t="inlineStr">
        <is>
          <t>PD-HTTPX-1200</t>
        </is>
      </c>
      <c r="C1007" s="0" t="inlineStr">
        <is>
          <t>Opire / Stripe</t>
        </is>
      </c>
      <c r="D1007" s="0" t="inlineStr">
        <is>
          <t>projectdiscovery/httpx (PR #2587: test(httpx): add HTTP header canonicalization and response status classification assertions)</t>
        </is>
      </c>
      <c r="E1007" s="0" t="n">
        <v>200</v>
      </c>
      <c r="F1007" s="0" t="n">
        <v>0</v>
      </c>
      <c r="G1007" s="0" t="n">
        <v>200</v>
      </c>
      <c r="H1007" s="0" t="inlineStr">
        <is>
          <t>Bounty Revenue</t>
        </is>
      </c>
      <c r="I1007" s="0" t="inlineStr">
        <is>
          <t>Pending Merge</t>
        </is>
      </c>
    </row>
    <row r="1008">
      <c r="A1008" s="24" t="n">
        <v>46270</v>
      </c>
      <c r="B1008" s="0" t="inlineStr">
        <is>
          <t>PERMIFY-3180</t>
        </is>
      </c>
      <c r="C1008" s="0" t="inlineStr">
        <is>
          <t>Opire / Stripe</t>
        </is>
      </c>
      <c r="D1008" s="0" t="inlineStr">
        <is>
          <t>Permify/permify (PR #3143: test(validation): add subject relation format validation and graph depth limit assertions)</t>
        </is>
      </c>
      <c r="E1008" s="0" t="n">
        <v>250</v>
      </c>
      <c r="F1008" s="0" t="n">
        <v>0</v>
      </c>
      <c r="G1008" s="0" t="n">
        <v>250</v>
      </c>
      <c r="H1008" s="0" t="inlineStr">
        <is>
          <t>Bounty Revenue</t>
        </is>
      </c>
      <c r="I1008" s="0" t="inlineStr">
        <is>
          <t>Pending Merge</t>
        </is>
      </c>
    </row>
    <row r="1009">
      <c r="A1009" s="24" t="n">
        <v>46270</v>
      </c>
      <c r="B1009" s="0" t="inlineStr">
        <is>
          <t>TSC-SOLV-1120</t>
        </is>
      </c>
      <c r="C1009" s="0" t="inlineStr">
        <is>
          <t>Opire / Stripe</t>
        </is>
      </c>
      <c r="D1009" s="0" t="inlineStr">
        <is>
          <t>tscircuit/schematic-trace-solver (PR #1069: test(solver): add multi-layer PCB trace transition via cost heuristic and segment collision specs)</t>
        </is>
      </c>
      <c r="E1009" s="0" t="n">
        <v>250</v>
      </c>
      <c r="F1009" s="0" t="n">
        <v>0</v>
      </c>
      <c r="G1009" s="0" t="n">
        <v>250</v>
      </c>
      <c r="H1009" s="0" t="inlineStr">
        <is>
          <t>Bounty Revenue</t>
        </is>
      </c>
      <c r="I1009" s="0" t="inlineStr">
        <is>
          <t>Pending Merge</t>
        </is>
      </c>
    </row>
    <row r="1010">
      <c r="A1010" s="24" t="n">
        <v>46270</v>
      </c>
      <c r="B1010" s="0" t="inlineStr">
        <is>
          <t>KEEP-6850</t>
        </is>
      </c>
      <c r="C1010" s="0" t="inlineStr">
        <is>
          <t>Opire / Stripe</t>
        </is>
      </c>
      <c r="D1010" s="0" t="inlineStr">
        <is>
          <t>keephq/keep (PR #6766: test(rulesengine): add alert fingerprint normalization and incident grouping window specs)</t>
        </is>
      </c>
      <c r="E1010" s="0" t="n">
        <v>200</v>
      </c>
      <c r="F1010" s="0" t="n">
        <v>0</v>
      </c>
      <c r="G1010" s="0" t="n">
        <v>200</v>
      </c>
      <c r="H1010" s="0" t="inlineStr">
        <is>
          <t>Bounty Revenue</t>
        </is>
      </c>
      <c r="I1010" s="0" t="inlineStr">
        <is>
          <t>Pending Merge</t>
        </is>
      </c>
    </row>
    <row r="1011">
      <c r="A1011" s="24" t="n">
        <v>46270</v>
      </c>
      <c r="B1011" s="0" t="inlineStr">
        <is>
          <t>LILLY-450</t>
        </is>
      </c>
      <c r="C1011" s="0" t="inlineStr">
        <is>
          <t>Opire / Stripe</t>
        </is>
      </c>
      <c r="D1011" s="0" t="inlineStr">
        <is>
          <t>Lilly-Protocol/lily-contracts (PR #399: test(escrow): add basis-point royalty disbursement splits and dust threshold guard specs)</t>
        </is>
      </c>
      <c r="E1011" s="0" t="n">
        <v>250</v>
      </c>
      <c r="F1011" s="0" t="n">
        <v>0</v>
      </c>
      <c r="G1011" s="0" t="n">
        <v>250</v>
      </c>
      <c r="H1011" s="0" t="inlineStr">
        <is>
          <t>Bounty Revenue</t>
        </is>
      </c>
      <c r="I1011" s="0" t="inlineStr">
        <is>
          <t>Pending Merge</t>
        </is>
      </c>
    </row>
    <row r="1012">
      <c r="A1012" s="24" t="n">
        <v>46270</v>
      </c>
      <c r="B1012" t="inlineStr">
        <is>
          <t>CAL-LIB-30150</t>
        </is>
      </c>
      <c r="C1012" t="inlineStr">
        <is>
          <t>Opire / Stripe</t>
        </is>
      </c>
      <c r="D1012" t="inlineStr">
        <is>
          <t>calcom/cal.diy (PR #30106: test(lib): add booking slot duration calculation and boundary validation assertions)</t>
        </is>
      </c>
      <c r="E1012" t="n">
        <v>200</v>
      </c>
      <c r="F1012" t="n">
        <v>0</v>
      </c>
      <c r="G1012" t="n">
        <v>200</v>
      </c>
      <c r="H1012" t="inlineStr">
        <is>
          <t>Bounty Revenue</t>
        </is>
      </c>
      <c r="I1012" t="inlineStr">
        <is>
          <t>Pending Merge</t>
        </is>
      </c>
    </row>
    <row r="1013">
      <c r="A1013" s="24" t="n">
        <v>46270</v>
      </c>
      <c r="B1013" t="inlineStr">
        <is>
          <t>AP-SHR-15350</t>
        </is>
      </c>
      <c r="C1013" t="inlineStr">
        <is>
          <t>Opire / Stripe</t>
        </is>
      </c>
      <c r="D1013" t="inlineStr">
        <is>
          <t>activepieces/activepieces (PR #15290: test(shared): add flow execution exponential backoff and terminal status guard assertions)</t>
        </is>
      </c>
      <c r="E1013" t="n">
        <v>200</v>
      </c>
      <c r="F1013" t="n">
        <v>0</v>
      </c>
      <c r="G1013" t="n">
        <v>200</v>
      </c>
      <c r="H1013" t="inlineStr">
        <is>
          <t>Bounty Revenue</t>
        </is>
      </c>
      <c r="I1013" t="inlineStr">
        <is>
          <t>Pending Merge</t>
        </is>
      </c>
    </row>
    <row r="1014">
      <c r="A1014" s="24" t="n">
        <v>46270</v>
      </c>
      <c r="B1014" t="inlineStr">
        <is>
          <t>PD-SUB-1890</t>
        </is>
      </c>
      <c r="C1014" t="inlineStr">
        <is>
          <t>Opire / Stripe</t>
        </is>
      </c>
      <c r="D1014" t="inlineStr">
        <is>
          <t>projectdiscovery/subfinder (PR #1859: test(subfinder): add subdomain case-insensitive deduplication and wildcard filter assertions)</t>
        </is>
      </c>
      <c r="E1014" t="n">
        <v>200</v>
      </c>
      <c r="F1014" t="n">
        <v>0</v>
      </c>
      <c r="G1014" t="n">
        <v>200</v>
      </c>
      <c r="H1014" t="inlineStr">
        <is>
          <t>Bounty Revenue</t>
        </is>
      </c>
      <c r="I1014" t="inlineStr">
        <is>
          <t>Pending Merge</t>
        </is>
      </c>
    </row>
    <row r="1015">
      <c r="A1015" s="24" t="n">
        <v>46270</v>
      </c>
      <c r="B1015" t="inlineStr">
        <is>
          <t>TSC-CORE-3690</t>
        </is>
      </c>
      <c r="C1015" t="inlineStr">
        <is>
          <t>Opire / Stripe</t>
        </is>
      </c>
      <c r="D1015" t="inlineStr">
        <is>
          <t>tscircuit/core (PR #3679: test(core): add schematic IC pin grid coordinate pitch and package aspect ratio specs)</t>
        </is>
      </c>
      <c r="E1015" t="n">
        <v>250</v>
      </c>
      <c r="F1015" t="n">
        <v>0</v>
      </c>
      <c r="G1015" t="n">
        <v>250</v>
      </c>
      <c r="H1015" t="inlineStr">
        <is>
          <t>Bounty Revenue</t>
        </is>
      </c>
      <c r="I1015" t="inlineStr">
        <is>
          <t>Pending Merge</t>
        </is>
      </c>
    </row>
    <row r="1016">
      <c r="A1016" s="24" t="n">
        <v>46270</v>
      </c>
      <c r="B1016" t="inlineStr">
        <is>
          <t>PERMIFY-3190</t>
        </is>
      </c>
      <c r="C1016" t="inlineStr">
        <is>
          <t>Opire / Stripe</t>
        </is>
      </c>
      <c r="D1016" t="inlineStr">
        <is>
          <t>Permify/permify (PR #3144: test(validation): add graph cycle detection and relation expansion assertions)</t>
        </is>
      </c>
      <c r="E1016" t="n">
        <v>250</v>
      </c>
      <c r="F1016" t="n">
        <v>0</v>
      </c>
      <c r="G1016" t="n">
        <v>250</v>
      </c>
      <c r="H1016" t="inlineStr">
        <is>
          <t>Bounty Revenue</t>
        </is>
      </c>
      <c r="I1016" t="inlineStr">
        <is>
          <t>Pending Merge</t>
        </is>
      </c>
    </row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J991"/>
  <sheetViews>
    <sheetView workbookViewId="0">
      <selection activeCell="A1" sqref="A1"/>
    </sheetView>
  </sheetViews>
  <sheetFormatPr baseColWidth="8" defaultColWidth="12.63" defaultRowHeight="15.75" customHeight="1"/>
  <cols>
    <col width="9.130000000000001" customWidth="1" style="19" min="1" max="1"/>
    <col width="10.25" customWidth="1" style="19" min="2" max="2"/>
    <col width="18.63" customWidth="1" style="19" min="3" max="3"/>
    <col width="5.63" customWidth="1" style="19" min="4" max="5"/>
    <col width="33.13" customWidth="1" style="19" min="6" max="6"/>
    <col width="10.63" customWidth="1" style="19" min="7" max="7"/>
    <col width="7.75" customWidth="1" style="19" min="8" max="8"/>
    <col width="12.13" customWidth="1" style="19" min="9" max="9"/>
    <col width="40.38" customWidth="1" style="19" min="10" max="10"/>
  </cols>
  <sheetData>
    <row r="1">
      <c r="A1" s="15" t="inlineStr">
        <is>
          <t>Date</t>
        </is>
      </c>
      <c r="B1" s="15" t="inlineStr">
        <is>
          <t>Organization</t>
        </is>
      </c>
      <c r="C1" s="15" t="inlineStr">
        <is>
          <t>Repository</t>
        </is>
      </c>
      <c r="D1" s="15" t="inlineStr">
        <is>
          <t>Issue</t>
        </is>
      </c>
      <c r="E1" s="15" t="inlineStr">
        <is>
          <t>PR</t>
        </is>
      </c>
      <c r="F1" s="15" t="inlineStr">
        <is>
          <t>Feature</t>
        </is>
      </c>
      <c r="G1" s="15" t="inlineStr">
        <is>
          <t>Bounty Value</t>
        </is>
      </c>
      <c r="H1" s="15" t="inlineStr">
        <is>
          <t>Status</t>
        </is>
      </c>
      <c r="I1" s="15" t="inlineStr">
        <is>
          <t>Platform</t>
        </is>
      </c>
      <c r="J1" s="15" t="inlineStr">
        <is>
          <t>PR Link</t>
        </is>
      </c>
    </row>
    <row r="2">
      <c r="A2" s="22" t="n">
        <v>46259</v>
      </c>
      <c r="B2" s="17" t="inlineStr">
        <is>
          <t>Documenso</t>
        </is>
      </c>
      <c r="C2" s="17" t="inlineStr">
        <is>
          <t>documenso/documenso</t>
        </is>
      </c>
      <c r="D2" s="17" t="inlineStr">
        <is>
          <t>#2844</t>
        </is>
      </c>
      <c r="E2" s="17" t="inlineStr">
        <is>
          <t>#3304</t>
        </is>
      </c>
      <c r="F2" s="17" t="inlineStr">
        <is>
          <t>Atomic Transaction Document Upload Quota</t>
        </is>
      </c>
      <c r="G2" s="18" t="n">
        <v>0</v>
      </c>
      <c r="H2" s="17" t="inlineStr">
        <is>
          <t>Closed (Unmerged)</t>
        </is>
      </c>
      <c r="I2" s="17" t="inlineStr">
        <is>
          <t>Algora / GitHub</t>
        </is>
      </c>
      <c r="J2" s="16" t="inlineStr">
        <is>
          <t>https://github.com/documenso/documenso/pull/3304</t>
        </is>
      </c>
    </row>
    <row r="3">
      <c r="A3" s="22" t="n">
        <v>46259</v>
      </c>
      <c r="B3" s="17" t="inlineStr">
        <is>
          <t>CapSoftware</t>
        </is>
      </c>
      <c r="C3" s="17" t="inlineStr">
        <is>
          <t>CapSoftware/Cap</t>
        </is>
      </c>
      <c r="D3" s="17" t="inlineStr">
        <is>
          <t>#1540</t>
        </is>
      </c>
      <c r="E3" s="17" t="inlineStr">
        <is>
          <t>#2145</t>
        </is>
      </c>
      <c r="F3" s="17" t="inlineStr">
        <is>
          <t>Desktop Deeplink Recording Actions Support</t>
        </is>
      </c>
      <c r="G3" s="18" t="n">
        <v>0</v>
      </c>
      <c r="H3" s="17" t="inlineStr">
        <is>
          <t>Closed (Unmerged)</t>
        </is>
      </c>
      <c r="I3" s="17" t="inlineStr">
        <is>
          <t>Algora / GitHub</t>
        </is>
      </c>
      <c r="J3" s="16" t="inlineStr">
        <is>
          <t>https://github.com/CapSoftware/Cap/pull/2145</t>
        </is>
      </c>
    </row>
    <row r="4">
      <c r="A4" s="22" t="n">
        <v>46259</v>
      </c>
      <c r="B4" s="17" t="inlineStr">
        <is>
          <t>KeepHQ</t>
        </is>
      </c>
      <c r="C4" s="17" t="inlineStr">
        <is>
          <t>keephq/keep</t>
        </is>
      </c>
      <c r="D4" s="17" t="inlineStr">
        <is>
          <t>#1327</t>
        </is>
      </c>
      <c r="E4" s="17" t="inlineStr">
        <is>
          <t>#6735</t>
        </is>
      </c>
      <c r="F4" s="17" t="inlineStr">
        <is>
          <t>Provider Config Input Validation and Strong Types</t>
        </is>
      </c>
      <c r="G4" s="18" t="n">
        <v>0</v>
      </c>
      <c r="H4" s="17" t="inlineStr">
        <is>
          <t>Closed (Unmerged)</t>
        </is>
      </c>
      <c r="I4" s="17" t="inlineStr">
        <is>
          <t>Algora / GitHub</t>
        </is>
      </c>
      <c r="J4" s="16" t="inlineStr">
        <is>
          <t>https://github.com/keephq/keep/pull/6735</t>
        </is>
      </c>
    </row>
    <row r="5">
      <c r="A5" s="22" t="n">
        <v>46260</v>
      </c>
      <c r="B5" s="17" t="inlineStr">
        <is>
          <t>Permify</t>
        </is>
      </c>
      <c r="C5" s="17" t="inlineStr">
        <is>
          <t>Permify/permify</t>
        </is>
      </c>
      <c r="D5" s="17" t="inlineStr">
        <is>
          <t>#1252</t>
        </is>
      </c>
      <c r="E5" s="17" t="inlineStr">
        <is>
          <t>#3096</t>
        </is>
      </c>
      <c r="F5" s="17" t="inlineStr">
        <is>
          <t>Batch Insert in Postgres DataWriter</t>
        </is>
      </c>
      <c r="G5" s="18" t="n">
        <v>0</v>
      </c>
      <c r="H5" s="17" t="inlineStr">
        <is>
          <t>Closed (Unmerged)</t>
        </is>
      </c>
      <c r="I5" s="17" t="inlineStr">
        <is>
          <t>Algora / GitHub</t>
        </is>
      </c>
      <c r="J5" s="16" t="inlineStr">
        <is>
          <t>https://github.com/Permify/permify/pull/3096</t>
        </is>
      </c>
    </row>
    <row r="6">
      <c r="A6" s="22" t="n">
        <v>46260</v>
      </c>
      <c r="B6" s="17" t="inlineStr">
        <is>
          <t>Documenso</t>
        </is>
      </c>
      <c r="C6" s="17" t="inlineStr">
        <is>
          <t>documenso/documenso</t>
        </is>
      </c>
      <c r="D6" s="17" t="inlineStr">
        <is>
          <t>#3296</t>
        </is>
      </c>
      <c r="E6" s="17" t="inlineStr">
        <is>
          <t>#3310</t>
        </is>
      </c>
      <c r="F6" s="17" t="inlineStr">
        <is>
          <t>Prevent field from being required and read-only</t>
        </is>
      </c>
      <c r="G6" s="18" t="n">
        <v>100</v>
      </c>
      <c r="H6" s="17" t="inlineStr">
        <is>
          <t>In Review</t>
        </is>
      </c>
      <c r="I6" s="17" t="inlineStr">
        <is>
          <t>Algora / GitHub</t>
        </is>
      </c>
      <c r="J6" s="16" t="inlineStr">
        <is>
          <t>https://github.com/documenso/documenso/pull/3310</t>
        </is>
      </c>
    </row>
    <row r="7">
      <c r="A7" s="22" t="n">
        <v>46260</v>
      </c>
      <c r="B7" s="17" t="inlineStr">
        <is>
          <t>Capgo</t>
        </is>
      </c>
      <c r="C7" s="17" t="inlineStr">
        <is>
          <t>Cap-go/capacitor-updater</t>
        </is>
      </c>
      <c r="D7" s="17" t="inlineStr">
        <is>
          <t>#411</t>
        </is>
      </c>
      <c r="E7" s="17" t="inlineStr">
        <is>
          <t>#868</t>
        </is>
      </c>
      <c r="F7" s="17" t="inlineStr">
        <is>
          <t>Support appBoot updateKind for instant bundle application</t>
        </is>
      </c>
      <c r="G7" s="18" t="n">
        <v>100</v>
      </c>
      <c r="H7" s="17" t="inlineStr">
        <is>
          <t>In Review</t>
        </is>
      </c>
      <c r="I7" s="17" t="inlineStr">
        <is>
          <t>Algora / GitHub</t>
        </is>
      </c>
      <c r="J7" s="16" t="inlineStr">
        <is>
          <t>https://github.com/Cap-go/capacitor-updater/pull/868</t>
        </is>
      </c>
    </row>
    <row r="8">
      <c r="A8" s="22" t="n"/>
      <c r="B8" s="17" t="inlineStr">
        <is>
          <t>Twenty</t>
        </is>
      </c>
      <c r="E8" s="17" t="inlineStr">
        <is>
          <t>#24635</t>
        </is>
      </c>
      <c r="G8" s="18" t="n">
        <v>100</v>
      </c>
      <c r="H8" s="17" t="inlineStr">
        <is>
          <t>In Review</t>
        </is>
      </c>
    </row>
    <row r="9">
      <c r="A9" s="22" t="n"/>
      <c r="B9" s="17" t="inlineStr">
        <is>
          <t>TSCircuit</t>
        </is>
      </c>
      <c r="E9" s="17" t="inlineStr">
        <is>
          <t>#3410</t>
        </is>
      </c>
      <c r="G9" s="18" t="n">
        <v>100</v>
      </c>
      <c r="H9" s="17" t="inlineStr">
        <is>
          <t>In Review</t>
        </is>
      </c>
    </row>
    <row r="10">
      <c r="A10" s="22" t="n"/>
      <c r="B10" s="17" t="inlineStr">
        <is>
          <t>TSCircuit</t>
        </is>
      </c>
      <c r="E10" s="17" t="inlineStr">
        <is>
          <t>#477</t>
        </is>
      </c>
      <c r="G10" s="18" t="n">
        <v>100</v>
      </c>
      <c r="H10" s="17" t="inlineStr">
        <is>
          <t>In Review</t>
        </is>
      </c>
    </row>
    <row r="11">
      <c r="A11" s="22" t="n"/>
      <c r="B11" s="17" t="inlineStr">
        <is>
          <t>TSCircuit</t>
        </is>
      </c>
      <c r="E11" s="17" t="inlineStr">
        <is>
          <t>#837</t>
        </is>
      </c>
      <c r="G11" s="18" t="n">
        <v>100</v>
      </c>
      <c r="H11" s="17" t="inlineStr">
        <is>
          <t>In Review</t>
        </is>
      </c>
    </row>
    <row r="12">
      <c r="B12" s="16" t="inlineStr">
        <is>
          <t>Cal.com</t>
        </is>
      </c>
      <c r="E12" s="17" t="inlineStr">
        <is>
          <t>#30025</t>
        </is>
      </c>
      <c r="G12" s="18" t="n">
        <v>100</v>
      </c>
      <c r="H12" s="17" t="inlineStr">
        <is>
          <t>In Review</t>
        </is>
      </c>
    </row>
    <row r="13">
      <c r="B13" s="17" t="inlineStr">
        <is>
          <t>ProjectDiscovery</t>
        </is>
      </c>
      <c r="E13" s="17" t="inlineStr">
        <is>
          <t>#1767</t>
        </is>
      </c>
      <c r="G13" s="18" t="n">
        <v>100</v>
      </c>
      <c r="H13" s="17" t="inlineStr">
        <is>
          <t>In Review</t>
        </is>
      </c>
    </row>
    <row r="14">
      <c r="B14" s="17" t="inlineStr">
        <is>
          <t>ProjectDiscovery</t>
        </is>
      </c>
      <c r="E14" s="17" t="inlineStr">
        <is>
          <t>#1766</t>
        </is>
      </c>
      <c r="G14" s="18" t="n">
        <v>100</v>
      </c>
      <c r="H14" s="17" t="inlineStr">
        <is>
          <t>In Review</t>
        </is>
      </c>
    </row>
    <row r="15">
      <c r="B15" s="17" t="inlineStr">
        <is>
          <t>ProjectDiscovery</t>
        </is>
      </c>
      <c r="E15" s="17" t="inlineStr">
        <is>
          <t>#1017</t>
        </is>
      </c>
      <c r="G15" s="18" t="n">
        <v>100</v>
      </c>
      <c r="H15" s="17" t="inlineStr">
        <is>
          <t>In Review</t>
        </is>
      </c>
    </row>
    <row r="16">
      <c r="B16" s="17" t="inlineStr">
        <is>
          <t>ProjectDiscovery</t>
        </is>
      </c>
      <c r="E16" s="17" t="inlineStr">
        <is>
          <t>#1016</t>
        </is>
      </c>
      <c r="G16" s="18" t="n">
        <v>100</v>
      </c>
      <c r="H16" s="17" t="inlineStr">
        <is>
          <t>In Review</t>
        </is>
      </c>
    </row>
    <row r="17">
      <c r="B17" s="17" t="inlineStr">
        <is>
          <t>Claude Builders</t>
        </is>
      </c>
      <c r="E17" s="17" t="inlineStr">
        <is>
          <t>#3760</t>
        </is>
      </c>
      <c r="G17" s="18" t="n">
        <v>115</v>
      </c>
      <c r="H17" s="17" t="inlineStr">
        <is>
          <t>In Review</t>
        </is>
      </c>
    </row>
    <row r="18">
      <c r="B18" s="17" t="inlineStr">
        <is>
          <t>Claude Builders</t>
        </is>
      </c>
      <c r="E18" s="17" t="inlineStr">
        <is>
          <t>#3758</t>
        </is>
      </c>
      <c r="G18" s="18" t="n">
        <v>115</v>
      </c>
      <c r="H18" s="17" t="inlineStr">
        <is>
          <t>In Review</t>
        </is>
      </c>
    </row>
    <row r="19">
      <c r="B19" s="17" t="inlineStr">
        <is>
          <t>Claude Builders</t>
        </is>
      </c>
      <c r="E19" s="17" t="inlineStr">
        <is>
          <t>#3741</t>
        </is>
      </c>
      <c r="G19" s="18" t="n">
        <v>115</v>
      </c>
      <c r="H19" s="17" t="inlineStr">
        <is>
          <t>In Review</t>
        </is>
      </c>
    </row>
    <row r="20">
      <c r="B20" s="17" t="inlineStr">
        <is>
          <t>Claude Builders</t>
        </is>
      </c>
      <c r="E20" s="17" t="inlineStr">
        <is>
          <t>#3740</t>
        </is>
      </c>
      <c r="G20" s="18" t="n">
        <v>115</v>
      </c>
      <c r="H20" s="17" t="inlineStr">
        <is>
          <t>In Review</t>
        </is>
      </c>
    </row>
    <row r="21">
      <c r="B21" s="17" t="inlineStr">
        <is>
          <t>Claude Builders</t>
        </is>
      </c>
      <c r="E21" s="17" t="inlineStr">
        <is>
          <t>#3739</t>
        </is>
      </c>
      <c r="G21" s="18" t="n">
        <v>115</v>
      </c>
      <c r="H21" s="17" t="inlineStr">
        <is>
          <t>In Review</t>
        </is>
      </c>
    </row>
    <row r="22">
      <c r="B22" s="17" t="inlineStr">
        <is>
          <t>Subfinder</t>
        </is>
      </c>
      <c r="E22" s="17" t="inlineStr">
        <is>
          <t>#1832</t>
        </is>
      </c>
      <c r="G22" s="18" t="n">
        <v>100</v>
      </c>
      <c r="H22" s="17" t="inlineStr">
        <is>
          <t>Merged / Settling Cash</t>
        </is>
      </c>
    </row>
    <row r="23">
      <c r="B23" s="17" t="inlineStr">
        <is>
          <t>Twenty</t>
        </is>
      </c>
      <c r="E23" s="17" t="inlineStr">
        <is>
          <t>#24712</t>
        </is>
      </c>
      <c r="G23" s="18" t="n">
        <v>0</v>
      </c>
      <c r="H23" s="17" t="inlineStr">
        <is>
          <t>Closed (Unmerged)</t>
        </is>
      </c>
    </row>
    <row r="24">
      <c r="A24" s="22" t="n">
        <v>46261</v>
      </c>
      <c r="B24" s="17" t="inlineStr">
        <is>
          <t>Lilly-Protocol</t>
        </is>
      </c>
      <c r="C24" s="17" t="inlineStr">
        <is>
          <t>Lilly-Protocol/lily-frontend</t>
        </is>
      </c>
      <c r="D24" s="17" t="inlineStr">
        <is>
          <t>#96</t>
        </is>
      </c>
      <c r="E24" s="17" t="inlineStr">
        <is>
          <t>#178</t>
        </is>
      </c>
      <c r="F24" s="17" t="inlineStr">
        <is>
          <t>Starter SVGs &amp; Quick Start Cards</t>
        </is>
      </c>
      <c r="G24" s="18" t="n">
        <v>100</v>
      </c>
      <c r="H24" s="17" t="inlineStr">
        <is>
          <t>In Review</t>
        </is>
      </c>
      <c r="I24" s="17" t="inlineStr">
        <is>
          <t>Algora / GitHub</t>
        </is>
      </c>
      <c r="J24" s="16" t="inlineStr">
        <is>
          <t>https://github.com/Lilly-Protocol/lily-frontend/pull/178</t>
        </is>
      </c>
    </row>
    <row r="25">
      <c r="A25" s="22" t="n">
        <v>46261</v>
      </c>
      <c r="B25" s="17" t="inlineStr">
        <is>
          <t>Lilly-Protocol</t>
        </is>
      </c>
      <c r="C25" s="17" t="inlineStr">
        <is>
          <t>Lilly-Protocol/lily-frontend</t>
        </is>
      </c>
      <c r="D25" s="17" t="inlineStr">
        <is>
          <t>#110</t>
        </is>
      </c>
      <c r="E25" s="17" t="inlineStr">
        <is>
          <t>#180</t>
        </is>
      </c>
      <c r="F25" s="17" t="inlineStr">
        <is>
          <t>Security Headers &amp; CSP Configuration</t>
        </is>
      </c>
      <c r="G25" s="18" t="n">
        <v>75</v>
      </c>
      <c r="H25" s="17" t="inlineStr">
        <is>
          <t>In Review</t>
        </is>
      </c>
      <c r="I25" s="17" t="inlineStr">
        <is>
          <t>Algora / GitHub</t>
        </is>
      </c>
      <c r="J25" s="16" t="inlineStr">
        <is>
          <t>https://github.com/Lilly-Protocol/lily-frontend/pull/180</t>
        </is>
      </c>
    </row>
    <row r="26">
      <c r="A26" s="22" t="n">
        <v>46261</v>
      </c>
      <c r="B26" s="17" t="inlineStr">
        <is>
          <t>Lilly-Protocol</t>
        </is>
      </c>
      <c r="C26" s="17" t="inlineStr">
        <is>
          <t>Lilly-Protocol/lily-backend</t>
        </is>
      </c>
      <c r="D26" s="17" t="inlineStr">
        <is>
          <t>#143</t>
        </is>
      </c>
      <c r="E26" s="17" t="inlineStr">
        <is>
          <t>#227</t>
        </is>
      </c>
      <c r="F26" s="17" t="inlineStr">
        <is>
          <t>Test Coverage Thresholds &amp; Scripts</t>
        </is>
      </c>
      <c r="G26" s="18" t="n">
        <v>50</v>
      </c>
      <c r="H26" s="17" t="inlineStr">
        <is>
          <t>In Review</t>
        </is>
      </c>
      <c r="I26" s="17" t="inlineStr">
        <is>
          <t>Algora / GitHub</t>
        </is>
      </c>
      <c r="J26" s="16" t="inlineStr">
        <is>
          <t>https://github.com/Lilly-Protocol/lily-backend/pull/227</t>
        </is>
      </c>
    </row>
    <row r="27">
      <c r="A27" s="22" t="n">
        <v>46261</v>
      </c>
      <c r="B27" s="17" t="inlineStr">
        <is>
          <t>Lilly-Protocol</t>
        </is>
      </c>
      <c r="C27" s="17" t="inlineStr">
        <is>
          <t>Lilly-Protocol/lily-frontend</t>
        </is>
      </c>
      <c r="D27" s="17" t="inlineStr">
        <is>
          <t>#125</t>
        </is>
      </c>
      <c r="E27" s="17" t="inlineStr">
        <is>
          <t>#181</t>
        </is>
      </c>
      <c r="F27" s="17" t="inlineStr">
        <is>
          <t>(New Feature)</t>
        </is>
      </c>
      <c r="G27" s="18" t="n">
        <v>70</v>
      </c>
      <c r="H27" s="17" t="inlineStr">
        <is>
          <t>In Review</t>
        </is>
      </c>
      <c r="I27" s="17" t="inlineStr">
        <is>
          <t>Algora / GitHub</t>
        </is>
      </c>
      <c r="J27" s="16" t="inlineStr">
        <is>
          <t>https://github.com/Lilly-Protocol/lily-frontend/pull/181</t>
        </is>
      </c>
    </row>
    <row r="28">
      <c r="A28" s="22" t="n">
        <v>46261</v>
      </c>
      <c r="B28" s="17" t="inlineStr">
        <is>
          <t>Lilly-Protocol</t>
        </is>
      </c>
      <c r="C28" s="17" t="inlineStr">
        <is>
          <t>Lilly-Protocol/lily-frontend</t>
        </is>
      </c>
      <c r="D28" s="17" t="inlineStr">
        <is>
          <t>#113</t>
        </is>
      </c>
      <c r="E28" s="17" t="inlineStr">
        <is>
          <t>#182</t>
        </is>
      </c>
      <c r="F28" s="17" t="inlineStr">
        <is>
          <t>Add accessible responsive timeline component</t>
        </is>
      </c>
      <c r="G28" s="18" t="n">
        <v>75</v>
      </c>
      <c r="H28" s="17" t="inlineStr">
        <is>
          <t>In Review</t>
        </is>
      </c>
      <c r="I28" s="17" t="inlineStr">
        <is>
          <t>Algora / GitHub</t>
        </is>
      </c>
      <c r="J28" s="16" t="inlineStr">
        <is>
          <t>https://github.com/Lilly-Protocol/lily-frontend/pull/182</t>
        </is>
      </c>
    </row>
    <row r="29">
      <c r="A29" s="22" t="n">
        <v>46261</v>
      </c>
      <c r="B29" s="17" t="inlineStr">
        <is>
          <t>Lilly-Protocol</t>
        </is>
      </c>
      <c r="C29" s="17" t="inlineStr">
        <is>
          <t>lily-frontend</t>
        </is>
      </c>
      <c r="D29" s="17" t="inlineStr">
        <is>
          <t>#96</t>
        </is>
      </c>
      <c r="E29" s="17" t="inlineStr">
        <is>
          <t>#178</t>
        </is>
      </c>
      <c r="F29" s="17" t="inlineStr">
        <is>
          <t>Remove Starter SVGs</t>
        </is>
      </c>
      <c r="G29" s="18" t="n">
        <v>100</v>
      </c>
      <c r="H29" s="17" t="inlineStr">
        <is>
          <t>In Review</t>
        </is>
      </c>
      <c r="I29" s="17" t="inlineStr">
        <is>
          <t>GitHub</t>
        </is>
      </c>
    </row>
    <row r="30">
      <c r="A30" s="22" t="n">
        <v>46261</v>
      </c>
      <c r="B30" s="17" t="inlineStr">
        <is>
          <t>Lilly-Protocol</t>
        </is>
      </c>
      <c r="C30" s="17" t="inlineStr">
        <is>
          <t>lily-frontend</t>
        </is>
      </c>
      <c r="D30" s="17" t="inlineStr">
        <is>
          <t>#110</t>
        </is>
      </c>
      <c r="E30" s="17" t="inlineStr">
        <is>
          <t>#180</t>
        </is>
      </c>
      <c r="F30" s="17" t="inlineStr">
        <is>
          <t>Security Headers</t>
        </is>
      </c>
      <c r="G30" s="18" t="n">
        <v>75</v>
      </c>
      <c r="H30" s="17" t="inlineStr">
        <is>
          <t>In Review</t>
        </is>
      </c>
      <c r="I30" s="17" t="inlineStr">
        <is>
          <t>GitHub</t>
        </is>
      </c>
    </row>
    <row r="31">
      <c r="A31" s="22" t="n">
        <v>46261</v>
      </c>
      <c r="B31" s="17" t="inlineStr">
        <is>
          <t>Lilly-Protocol</t>
        </is>
      </c>
      <c r="C31" s="17" t="inlineStr">
        <is>
          <t>lily-backend</t>
        </is>
      </c>
      <c r="D31" s="17" t="inlineStr">
        <is>
          <t>#143</t>
        </is>
      </c>
      <c r="E31" s="17" t="inlineStr">
        <is>
          <t>#227</t>
        </is>
      </c>
      <c r="F31" s="17" t="inlineStr">
        <is>
          <t>Coverage Thresholds</t>
        </is>
      </c>
      <c r="G31" s="18" t="n">
        <v>50</v>
      </c>
      <c r="H31" s="17" t="inlineStr">
        <is>
          <t>In Review</t>
        </is>
      </c>
      <c r="I31" s="17" t="inlineStr">
        <is>
          <t>GitHub</t>
        </is>
      </c>
    </row>
    <row r="32">
      <c r="A32" s="22" t="n">
        <v>46261</v>
      </c>
      <c r="B32" s="17" t="inlineStr">
        <is>
          <t>Lilly-Protocol</t>
        </is>
      </c>
      <c r="C32" s="17" t="inlineStr">
        <is>
          <t>lily-frontend</t>
        </is>
      </c>
      <c r="D32" s="17" t="inlineStr">
        <is>
          <t>#125</t>
        </is>
      </c>
      <c r="E32" s="17" t="inlineStr">
        <is>
          <t>#181</t>
        </is>
      </c>
      <c r="F32" s="17" t="inlineStr">
        <is>
          <t>Request ID Middleware</t>
        </is>
      </c>
      <c r="G32" s="18" t="n">
        <v>70</v>
      </c>
      <c r="H32" s="17" t="inlineStr">
        <is>
          <t>In Review</t>
        </is>
      </c>
      <c r="I32" s="17" t="inlineStr">
        <is>
          <t>GitHub</t>
        </is>
      </c>
    </row>
    <row r="33">
      <c r="A33" s="22" t="n">
        <v>46261</v>
      </c>
      <c r="B33" s="17" t="inlineStr">
        <is>
          <t>Lilly-Protocol</t>
        </is>
      </c>
      <c r="C33" s="17" t="inlineStr">
        <is>
          <t>lily-frontend</t>
        </is>
      </c>
      <c r="D33" s="17" t="inlineStr">
        <is>
          <t>#113</t>
        </is>
      </c>
      <c r="E33" s="17" t="inlineStr">
        <is>
          <t>#182</t>
        </is>
      </c>
      <c r="F33" s="17" t="inlineStr">
        <is>
          <t>Timeline Component</t>
        </is>
      </c>
      <c r="G33" s="18" t="n">
        <v>75</v>
      </c>
      <c r="H33" s="17" t="inlineStr">
        <is>
          <t>In Review</t>
        </is>
      </c>
      <c r="I33" s="17" t="inlineStr">
        <is>
          <t>GitHub</t>
        </is>
      </c>
    </row>
    <row r="34">
      <c r="A34" s="22" t="n">
        <v>46261</v>
      </c>
      <c r="B34" s="17" t="inlineStr">
        <is>
          <t>Lilly-Protocol</t>
        </is>
      </c>
      <c r="C34" s="17" t="inlineStr">
        <is>
          <t>lily-frontend</t>
        </is>
      </c>
      <c r="D34" s="17" t="inlineStr">
        <is>
          <t>#121</t>
        </is>
      </c>
      <c r="E34" s="17" t="inlineStr">
        <is>
          <t>#183</t>
        </is>
      </c>
      <c r="F34" s="17" t="inlineStr">
        <is>
          <t>App Icon Routes</t>
        </is>
      </c>
      <c r="G34" s="18" t="n">
        <v>60</v>
      </c>
      <c r="H34" s="17" t="inlineStr">
        <is>
          <t>In Review</t>
        </is>
      </c>
      <c r="I34" s="17" t="inlineStr">
        <is>
          <t>GitHub</t>
        </is>
      </c>
    </row>
    <row r="35">
      <c r="A35" s="22" t="n">
        <v>46261</v>
      </c>
      <c r="B35" s="17" t="inlineStr">
        <is>
          <t>Lilly-Protocol</t>
        </is>
      </c>
      <c r="C35" s="17" t="inlineStr">
        <is>
          <t>lily-frontend</t>
        </is>
      </c>
      <c r="D35" s="17" t="inlineStr">
        <is>
          <t>#46</t>
        </is>
      </c>
      <c r="E35" s="17" t="inlineStr">
        <is>
          <t>#184</t>
        </is>
      </c>
      <c r="F35" s="17" t="inlineStr">
        <is>
          <t>Elevation &amp; Shadow Scale</t>
        </is>
      </c>
      <c r="G35" s="18" t="n">
        <v>75</v>
      </c>
      <c r="H35" s="17" t="inlineStr">
        <is>
          <t>In Review</t>
        </is>
      </c>
      <c r="I35" s="17" t="inlineStr">
        <is>
          <t>GitHub</t>
        </is>
      </c>
      <c r="J35" s="17" t="n"/>
    </row>
    <row r="36">
      <c r="A36" s="22" t="n">
        <v>46261</v>
      </c>
      <c r="B36" s="17" t="inlineStr">
        <is>
          <t>Lilly-Protocol</t>
        </is>
      </c>
      <c r="C36" s="17" t="inlineStr">
        <is>
          <t>lily-frontend</t>
        </is>
      </c>
      <c r="D36" s="17" t="inlineStr">
        <is>
          <t>LILY-96</t>
        </is>
      </c>
      <c r="E36" s="17" t="inlineStr">
        <is>
          <t>#178</t>
        </is>
      </c>
      <c r="F36" s="17" t="inlineStr">
        <is>
          <t>lily-frontend #96</t>
        </is>
      </c>
      <c r="G36" s="18" t="n">
        <v>100</v>
      </c>
      <c r="H36" s="17" t="inlineStr">
        <is>
          <t>Open</t>
        </is>
      </c>
      <c r="I36" s="17" t="inlineStr">
        <is>
          <t>Algora / GitHub</t>
        </is>
      </c>
      <c r="J36" s="16" t="inlineStr">
        <is>
          <t>https://github.com/Lilly-Protocol/lily-frontend/pull/178</t>
        </is>
      </c>
    </row>
    <row r="37">
      <c r="A37" s="22" t="n">
        <v>46261</v>
      </c>
      <c r="B37" s="17" t="inlineStr">
        <is>
          <t>Lilly-Protocol</t>
        </is>
      </c>
      <c r="C37" s="17" t="inlineStr">
        <is>
          <t>lily-frontend</t>
        </is>
      </c>
      <c r="D37" s="17" t="inlineStr">
        <is>
          <t>LILY-110</t>
        </is>
      </c>
      <c r="E37" s="17" t="inlineStr">
        <is>
          <t>#180</t>
        </is>
      </c>
      <c r="F37" s="17" t="inlineStr">
        <is>
          <t>lily-frontend #110</t>
        </is>
      </c>
      <c r="G37" s="18" t="n">
        <v>75</v>
      </c>
      <c r="H37" s="17" t="inlineStr">
        <is>
          <t>Open</t>
        </is>
      </c>
      <c r="I37" s="17" t="inlineStr">
        <is>
          <t>Algora / GitHub</t>
        </is>
      </c>
      <c r="J37" s="16" t="inlineStr">
        <is>
          <t>https://github.com/Lilly-Protocol/lily-frontend/pull/180</t>
        </is>
      </c>
    </row>
    <row r="38">
      <c r="A38" s="22" t="n">
        <v>46261</v>
      </c>
      <c r="B38" s="17" t="inlineStr">
        <is>
          <t>Lilly-Protocol</t>
        </is>
      </c>
      <c r="C38" s="17" t="inlineStr">
        <is>
          <t>lily-backend</t>
        </is>
      </c>
      <c r="D38" s="17" t="inlineStr">
        <is>
          <t>LILY-143</t>
        </is>
      </c>
      <c r="E38" s="17" t="inlineStr">
        <is>
          <t>#227</t>
        </is>
      </c>
      <c r="F38" s="17" t="inlineStr">
        <is>
          <t>lily-backend #143</t>
        </is>
      </c>
      <c r="G38" s="18" t="n">
        <v>50</v>
      </c>
      <c r="H38" s="17" t="inlineStr">
        <is>
          <t>Open</t>
        </is>
      </c>
      <c r="I38" s="17" t="inlineStr">
        <is>
          <t>Algora / GitHub</t>
        </is>
      </c>
      <c r="J38" s="16" t="inlineStr">
        <is>
          <t>https://github.com/Lilly-Protocol/lily-backend/pull/227</t>
        </is>
      </c>
    </row>
    <row r="39">
      <c r="A39" s="22" t="n">
        <v>46261</v>
      </c>
      <c r="B39" s="17" t="inlineStr">
        <is>
          <t>Lilly-Protocol</t>
        </is>
      </c>
      <c r="C39" s="17" t="inlineStr">
        <is>
          <t>lily-frontend</t>
        </is>
      </c>
      <c r="D39" s="17" t="inlineStr">
        <is>
          <t>LILY-125</t>
        </is>
      </c>
      <c r="E39" s="17" t="inlineStr">
        <is>
          <t>#181</t>
        </is>
      </c>
      <c r="F39" s="17" t="inlineStr">
        <is>
          <t>lily-frontend #125</t>
        </is>
      </c>
      <c r="G39" s="18" t="n">
        <v>70</v>
      </c>
      <c r="H39" s="17" t="inlineStr">
        <is>
          <t>Open</t>
        </is>
      </c>
      <c r="I39" s="17" t="inlineStr">
        <is>
          <t>Algora / GitHub</t>
        </is>
      </c>
      <c r="J39" s="16" t="inlineStr">
        <is>
          <t>https://github.com/Lilly-Protocol/lily-frontend/pull/181</t>
        </is>
      </c>
    </row>
    <row r="40">
      <c r="A40" s="22" t="n">
        <v>46261</v>
      </c>
      <c r="B40" s="17" t="inlineStr">
        <is>
          <t>Lilly-Protocol</t>
        </is>
      </c>
      <c r="C40" s="17" t="inlineStr">
        <is>
          <t>lily-frontend</t>
        </is>
      </c>
      <c r="D40" s="17" t="inlineStr">
        <is>
          <t>LILY-113</t>
        </is>
      </c>
      <c r="E40" s="17" t="inlineStr">
        <is>
          <t>#182</t>
        </is>
      </c>
      <c r="F40" s="17" t="inlineStr">
        <is>
          <t>lily-frontend #113</t>
        </is>
      </c>
      <c r="G40" s="18" t="n">
        <v>75</v>
      </c>
      <c r="H40" s="17" t="inlineStr">
        <is>
          <t>Open</t>
        </is>
      </c>
      <c r="I40" s="17" t="inlineStr">
        <is>
          <t>Algora / GitHub</t>
        </is>
      </c>
      <c r="J40" s="16" t="inlineStr">
        <is>
          <t>https://github.com/Lilly-Protocol/lily-frontend/pull/182</t>
        </is>
      </c>
    </row>
    <row r="41">
      <c r="A41" s="22" t="n">
        <v>46261</v>
      </c>
      <c r="B41" s="17" t="inlineStr">
        <is>
          <t>Lilly-Protocol</t>
        </is>
      </c>
      <c r="C41" s="17" t="inlineStr">
        <is>
          <t>lily-frontend</t>
        </is>
      </c>
      <c r="D41" s="17" t="inlineStr">
        <is>
          <t>LILY-121</t>
        </is>
      </c>
      <c r="E41" s="17" t="inlineStr">
        <is>
          <t>#183</t>
        </is>
      </c>
      <c r="F41" s="17" t="inlineStr">
        <is>
          <t>lily-frontend #121</t>
        </is>
      </c>
      <c r="G41" s="18" t="n">
        <v>60</v>
      </c>
      <c r="H41" s="17" t="inlineStr">
        <is>
          <t>Open</t>
        </is>
      </c>
      <c r="I41" s="17" t="inlineStr">
        <is>
          <t>Algora / GitHub</t>
        </is>
      </c>
      <c r="J41" s="16" t="inlineStr">
        <is>
          <t>https://github.com/Lilly-Protocol/lily-frontend/pull/183</t>
        </is>
      </c>
    </row>
    <row r="42">
      <c r="A42" s="22" t="n">
        <v>46261</v>
      </c>
      <c r="B42" s="17" t="inlineStr">
        <is>
          <t>Lilly-Protocol</t>
        </is>
      </c>
      <c r="C42" s="17" t="inlineStr">
        <is>
          <t>lily-frontend</t>
        </is>
      </c>
      <c r="D42" s="17" t="inlineStr">
        <is>
          <t>LILY-46</t>
        </is>
      </c>
      <c r="E42" s="17" t="inlineStr">
        <is>
          <t>#184</t>
        </is>
      </c>
      <c r="F42" s="17" t="inlineStr">
        <is>
          <t>lily-frontend #46</t>
        </is>
      </c>
      <c r="G42" s="18" t="n">
        <v>75</v>
      </c>
      <c r="H42" s="17" t="inlineStr">
        <is>
          <t>Open</t>
        </is>
      </c>
      <c r="I42" s="17" t="inlineStr">
        <is>
          <t>Algora / GitHub</t>
        </is>
      </c>
      <c r="J42" s="16" t="inlineStr">
        <is>
          <t>https://github.com/Lilly-Protocol/lily-frontend/pull/184</t>
        </is>
      </c>
    </row>
    <row r="43">
      <c r="A43" s="22" t="n">
        <v>46261</v>
      </c>
      <c r="B43" s="17" t="inlineStr">
        <is>
          <t>Lilly-Protocol</t>
        </is>
      </c>
      <c r="C43" s="17" t="inlineStr">
        <is>
          <t>lily-frontend</t>
        </is>
      </c>
      <c r="D43" s="17" t="inlineStr">
        <is>
          <t>LILY-30</t>
        </is>
      </c>
      <c r="E43" s="17" t="inlineStr">
        <is>
          <t>#185</t>
        </is>
      </c>
      <c r="F43" s="17" t="inlineStr">
        <is>
          <t>lily-frontend #30</t>
        </is>
      </c>
      <c r="G43" s="18" t="n">
        <v>75</v>
      </c>
      <c r="H43" s="17" t="inlineStr">
        <is>
          <t>Open</t>
        </is>
      </c>
      <c r="I43" s="17" t="inlineStr">
        <is>
          <t>Algora / GitHub</t>
        </is>
      </c>
      <c r="J43" s="16" t="inlineStr">
        <is>
          <t>https://github.com/Lilly-Protocol/lily-frontend/pull/185</t>
        </is>
      </c>
    </row>
    <row r="44">
      <c r="A44" s="22" t="n">
        <v>46261</v>
      </c>
      <c r="B44" s="17" t="inlineStr">
        <is>
          <t>Lilly-Protocol</t>
        </is>
      </c>
      <c r="C44" s="17" t="inlineStr">
        <is>
          <t>lily-frontend</t>
        </is>
      </c>
      <c r="D44" s="17" t="inlineStr">
        <is>
          <t>LILY-47</t>
        </is>
      </c>
      <c r="E44" s="17" t="inlineStr">
        <is>
          <t>#186</t>
        </is>
      </c>
      <c r="F44" s="17" t="inlineStr">
        <is>
          <t>lily-frontend #47</t>
        </is>
      </c>
      <c r="G44" s="18" t="n">
        <v>75</v>
      </c>
      <c r="H44" s="17" t="inlineStr">
        <is>
          <t>Open</t>
        </is>
      </c>
      <c r="I44" s="17" t="inlineStr">
        <is>
          <t>Algora / GitHub</t>
        </is>
      </c>
      <c r="J44" s="16" t="inlineStr">
        <is>
          <t>https://github.com/Lilly-Protocol/lily-frontend/pull/186</t>
        </is>
      </c>
    </row>
    <row r="45">
      <c r="A45" s="22" t="n">
        <v>46261</v>
      </c>
      <c r="B45" s="17" t="inlineStr">
        <is>
          <t>Lilly-Protocol</t>
        </is>
      </c>
      <c r="C45" s="17" t="inlineStr">
        <is>
          <t>Lilly-Protocol/lily-frontend</t>
        </is>
      </c>
      <c r="D45" s="17" t="inlineStr">
        <is>
          <t>#30</t>
        </is>
      </c>
      <c r="E45" s="17" t="inlineStr">
        <is>
          <t>#185</t>
        </is>
      </c>
      <c r="F45" s="17" t="inlineStr">
        <is>
          <t>test(a11y): add axe accessibility assertions to component tests (#30)</t>
        </is>
      </c>
      <c r="G45" s="18" t="n">
        <v>75</v>
      </c>
      <c r="H45" s="17" t="inlineStr">
        <is>
          <t>In Review</t>
        </is>
      </c>
      <c r="I45" s="17" t="inlineStr">
        <is>
          <t>Algora / GitHub</t>
        </is>
      </c>
      <c r="J45" s="16" t="inlineStr">
        <is>
          <t>https://github.com/Lilly-Protocol/lily-frontend/pull/185</t>
        </is>
      </c>
    </row>
    <row r="46">
      <c r="A46" s="22" t="n">
        <v>46261</v>
      </c>
      <c r="B46" s="17" t="inlineStr">
        <is>
          <t>Lilly-Protocol</t>
        </is>
      </c>
      <c r="C46" s="17" t="inlineStr">
        <is>
          <t>Lilly-Protocol/lily-frontend</t>
        </is>
      </c>
      <c r="D46" s="17" t="inlineStr">
        <is>
          <t>#96</t>
        </is>
      </c>
      <c r="E46" s="17" t="inlineStr">
        <is>
          <t>PR #178</t>
        </is>
      </c>
      <c r="F46" s="17" t="inlineStr">
        <is>
          <t>Remove Starter SVGs</t>
        </is>
      </c>
      <c r="G46" s="18" t="n">
        <v>100</v>
      </c>
      <c r="H46" s="17" t="inlineStr">
        <is>
          <t>In Review</t>
        </is>
      </c>
      <c r="I46" s="17" t="inlineStr">
        <is>
          <t>Algora / GitHub</t>
        </is>
      </c>
      <c r="J46" s="16" t="inlineStr">
        <is>
          <t>https://github.com/Lilly-Protocol/lily-frontend/pull/178</t>
        </is>
      </c>
    </row>
    <row r="47">
      <c r="A47" s="22" t="n">
        <v>46261</v>
      </c>
      <c r="B47" s="17" t="inlineStr">
        <is>
          <t>Lilly-Protocol</t>
        </is>
      </c>
      <c r="C47" s="17" t="inlineStr">
        <is>
          <t>Lilly-Protocol/lily-frontend</t>
        </is>
      </c>
      <c r="D47" s="17" t="inlineStr">
        <is>
          <t>#110</t>
        </is>
      </c>
      <c r="E47" s="17" t="inlineStr">
        <is>
          <t>PR #180</t>
        </is>
      </c>
      <c r="F47" s="17" t="inlineStr">
        <is>
          <t>Security Headers</t>
        </is>
      </c>
      <c r="G47" s="18" t="n">
        <v>75</v>
      </c>
      <c r="H47" s="17" t="inlineStr">
        <is>
          <t>In Review</t>
        </is>
      </c>
      <c r="I47" s="17" t="inlineStr">
        <is>
          <t>Algora / GitHub</t>
        </is>
      </c>
      <c r="J47" s="16" t="inlineStr">
        <is>
          <t>https://github.com/Lilly-Protocol/lily-frontend/pull/180</t>
        </is>
      </c>
    </row>
    <row r="48">
      <c r="A48" s="22" t="n">
        <v>46261</v>
      </c>
      <c r="B48" s="17" t="inlineStr">
        <is>
          <t>Lilly-Protocol</t>
        </is>
      </c>
      <c r="C48" s="17" t="inlineStr">
        <is>
          <t>Lilly-Protocol/lily-backend</t>
        </is>
      </c>
      <c r="D48" s="17" t="inlineStr">
        <is>
          <t>#143</t>
        </is>
      </c>
      <c r="E48" s="17" t="inlineStr">
        <is>
          <t>PR #227</t>
        </is>
      </c>
      <c r="F48" s="17" t="inlineStr">
        <is>
          <t>Coverage Thresholds</t>
        </is>
      </c>
      <c r="G48" s="18" t="n">
        <v>50</v>
      </c>
      <c r="H48" s="17" t="inlineStr">
        <is>
          <t>In Review</t>
        </is>
      </c>
      <c r="I48" s="17" t="inlineStr">
        <is>
          <t>Algora / GitHub</t>
        </is>
      </c>
      <c r="J48" s="16" t="inlineStr">
        <is>
          <t>https://github.com/Lilly-Protocol/lily-backend/pull/227</t>
        </is>
      </c>
    </row>
    <row r="49">
      <c r="A49" s="22" t="n">
        <v>46261</v>
      </c>
      <c r="B49" s="17" t="inlineStr">
        <is>
          <t>Lilly-Protocol</t>
        </is>
      </c>
      <c r="C49" s="17" t="inlineStr">
        <is>
          <t>Lilly-Protocol/lily-frontend</t>
        </is>
      </c>
      <c r="D49" s="17" t="inlineStr">
        <is>
          <t>#125</t>
        </is>
      </c>
      <c r="E49" s="17" t="inlineStr">
        <is>
          <t>PR #181</t>
        </is>
      </c>
      <c r="F49" s="17" t="inlineStr">
        <is>
          <t>Request ID Middleware</t>
        </is>
      </c>
      <c r="G49" s="18" t="n">
        <v>70</v>
      </c>
      <c r="H49" s="17" t="inlineStr">
        <is>
          <t>In Review</t>
        </is>
      </c>
      <c r="I49" s="17" t="inlineStr">
        <is>
          <t>Algora / GitHub</t>
        </is>
      </c>
      <c r="J49" s="16" t="inlineStr">
        <is>
          <t>https://github.com/Lilly-Protocol/lily-frontend/pull/181</t>
        </is>
      </c>
    </row>
    <row r="50">
      <c r="A50" s="22" t="n">
        <v>46261</v>
      </c>
      <c r="B50" s="17" t="inlineStr">
        <is>
          <t>Lilly-Protocol</t>
        </is>
      </c>
      <c r="C50" s="17" t="inlineStr">
        <is>
          <t>Lilly-Protocol/lily-frontend</t>
        </is>
      </c>
      <c r="D50" s="17" t="inlineStr">
        <is>
          <t>#113</t>
        </is>
      </c>
      <c r="E50" s="17" t="inlineStr">
        <is>
          <t>PR #182</t>
        </is>
      </c>
      <c r="F50" s="17" t="inlineStr">
        <is>
          <t>Timeline Component</t>
        </is>
      </c>
      <c r="G50" s="18" t="n">
        <v>75</v>
      </c>
      <c r="H50" s="17" t="inlineStr">
        <is>
          <t>In Review</t>
        </is>
      </c>
      <c r="I50" s="17" t="inlineStr">
        <is>
          <t>Algora / GitHub</t>
        </is>
      </c>
      <c r="J50" s="16" t="inlineStr">
        <is>
          <t>https://github.com/Lilly-Protocol/lily-frontend/pull/182</t>
        </is>
      </c>
    </row>
    <row r="51">
      <c r="A51" s="22" t="n">
        <v>46261</v>
      </c>
      <c r="B51" s="17" t="inlineStr">
        <is>
          <t>Lilly-Protocol</t>
        </is>
      </c>
      <c r="C51" s="17" t="inlineStr">
        <is>
          <t>Lilly-Protocol/lily-frontend</t>
        </is>
      </c>
      <c r="D51" s="17" t="inlineStr">
        <is>
          <t>#121</t>
        </is>
      </c>
      <c r="E51" s="17" t="inlineStr">
        <is>
          <t>PR #183</t>
        </is>
      </c>
      <c r="F51" s="17" t="inlineStr">
        <is>
          <t>App Icon Routes</t>
        </is>
      </c>
      <c r="G51" s="18" t="n">
        <v>60</v>
      </c>
      <c r="H51" s="17" t="inlineStr">
        <is>
          <t>In Review</t>
        </is>
      </c>
      <c r="I51" s="17" t="inlineStr">
        <is>
          <t>Algora / GitHub</t>
        </is>
      </c>
      <c r="J51" s="16" t="inlineStr">
        <is>
          <t>https://github.com/Lilly-Protocol/lily-frontend/pull/183</t>
        </is>
      </c>
    </row>
    <row r="52">
      <c r="A52" s="22" t="n">
        <v>46261</v>
      </c>
      <c r="B52" s="17" t="inlineStr">
        <is>
          <t>Lilly-Protocol</t>
        </is>
      </c>
      <c r="C52" s="17" t="inlineStr">
        <is>
          <t>Lilly-Protocol/lily-frontend</t>
        </is>
      </c>
      <c r="D52" s="17" t="inlineStr">
        <is>
          <t>#46</t>
        </is>
      </c>
      <c r="E52" s="17" t="inlineStr">
        <is>
          <t>PR #184</t>
        </is>
      </c>
      <c r="F52" s="17" t="inlineStr">
        <is>
          <t>Elevation Tokens</t>
        </is>
      </c>
      <c r="G52" s="18" t="n">
        <v>75</v>
      </c>
      <c r="H52" s="17" t="inlineStr">
        <is>
          <t>In Review</t>
        </is>
      </c>
      <c r="I52" s="17" t="inlineStr">
        <is>
          <t>Algora / GitHub</t>
        </is>
      </c>
      <c r="J52" s="16" t="inlineStr">
        <is>
          <t>https://github.com/Lilly-Protocol/lily-frontend/pull/184</t>
        </is>
      </c>
    </row>
    <row r="53">
      <c r="A53" s="22" t="n">
        <v>46261</v>
      </c>
      <c r="B53" s="17" t="inlineStr">
        <is>
          <t>Lilly-Protocol</t>
        </is>
      </c>
      <c r="C53" s="17" t="inlineStr">
        <is>
          <t>Lilly-Protocol/lily-frontend</t>
        </is>
      </c>
      <c r="D53" s="17" t="inlineStr">
        <is>
          <t>#30</t>
        </is>
      </c>
      <c r="E53" s="17" t="inlineStr">
        <is>
          <t>PR #185</t>
        </is>
      </c>
      <c r="F53" s="17" t="inlineStr">
        <is>
          <t>Axe Accessibility</t>
        </is>
      </c>
      <c r="G53" s="18" t="n">
        <v>75</v>
      </c>
      <c r="H53" s="17" t="inlineStr">
        <is>
          <t>In Review</t>
        </is>
      </c>
      <c r="I53" s="17" t="inlineStr">
        <is>
          <t>Algora / GitHub</t>
        </is>
      </c>
      <c r="J53" s="16" t="inlineStr">
        <is>
          <t>https://github.com/Lilly-Protocol/lily-frontend/pull/185</t>
        </is>
      </c>
    </row>
    <row r="54">
      <c r="A54" s="22" t="n">
        <v>46261</v>
      </c>
      <c r="B54" s="17" t="inlineStr">
        <is>
          <t>Lilly-Protocol</t>
        </is>
      </c>
      <c r="C54" s="17" t="inlineStr">
        <is>
          <t>Lilly-Protocol/lily-frontend</t>
        </is>
      </c>
      <c r="D54" s="17" t="inlineStr">
        <is>
          <t>#47</t>
        </is>
      </c>
      <c r="E54" s="17" t="inlineStr">
        <is>
          <t>PR #186</t>
        </is>
      </c>
      <c r="F54" s="17" t="inlineStr">
        <is>
          <t>ADR 0001 Architecture</t>
        </is>
      </c>
      <c r="G54" s="18" t="n">
        <v>75</v>
      </c>
      <c r="H54" s="17" t="inlineStr">
        <is>
          <t>In Review</t>
        </is>
      </c>
      <c r="I54" s="17" t="inlineStr">
        <is>
          <t>Algora / GitHub</t>
        </is>
      </c>
      <c r="J54" s="16" t="inlineStr">
        <is>
          <t>https://github.com/Lilly-Protocol/lily-frontend/pull/186</t>
        </is>
      </c>
    </row>
    <row r="55">
      <c r="A55" s="22" t="n">
        <v>46261</v>
      </c>
      <c r="B55" s="17" t="inlineStr">
        <is>
          <t>Lilly-Protocol</t>
        </is>
      </c>
      <c r="C55" s="17" t="inlineStr">
        <is>
          <t>Lilly-Protocol/lily-frontend</t>
        </is>
      </c>
      <c r="D55" s="17" t="inlineStr">
        <is>
          <t>#111</t>
        </is>
      </c>
      <c r="E55" s="17" t="inlineStr">
        <is>
          <t>PR #187</t>
        </is>
      </c>
      <c r="F55" s="17" t="inlineStr">
        <is>
          <t>Server Instrumentation</t>
        </is>
      </c>
      <c r="G55" s="18" t="n">
        <v>35</v>
      </c>
      <c r="H55" s="17" t="inlineStr">
        <is>
          <t>In Review</t>
        </is>
      </c>
      <c r="I55" s="17" t="inlineStr">
        <is>
          <t>Algora / GitHub</t>
        </is>
      </c>
      <c r="J55" s="16" t="inlineStr">
        <is>
          <t>https://github.com/Lilly-Protocol/lily-frontend/pull/187</t>
        </is>
      </c>
    </row>
    <row r="56">
      <c r="A56" s="22" t="n">
        <v>46261</v>
      </c>
      <c r="B56" s="17" t="inlineStr">
        <is>
          <t>Lilly-Protocol</t>
        </is>
      </c>
      <c r="C56" s="17" t="inlineStr">
        <is>
          <t>Lilly-Protocol/lily-frontend</t>
        </is>
      </c>
      <c r="D56" s="17" t="inlineStr">
        <is>
          <t>#96</t>
        </is>
      </c>
      <c r="E56" s="17" t="inlineStr">
        <is>
          <t>#178</t>
        </is>
      </c>
      <c r="F56" s="17" t="inlineStr">
        <is>
          <t>Remove Starter SVGs</t>
        </is>
      </c>
      <c r="G56" s="18" t="n">
        <v>100</v>
      </c>
      <c r="H56" s="17" t="inlineStr">
        <is>
          <t>In Review</t>
        </is>
      </c>
      <c r="I56" s="17" t="inlineStr">
        <is>
          <t>Algora / GitHub</t>
        </is>
      </c>
      <c r="J56" s="16" t="inlineStr">
        <is>
          <t>https://github.com/Lilly-Protocol/lily-frontend/pull/178</t>
        </is>
      </c>
    </row>
    <row r="57">
      <c r="A57" s="22" t="n">
        <v>46261</v>
      </c>
      <c r="B57" s="17" t="inlineStr">
        <is>
          <t>Lilly-Protocol</t>
        </is>
      </c>
      <c r="C57" s="17" t="inlineStr">
        <is>
          <t>Lilly-Protocol/lily-frontend</t>
        </is>
      </c>
      <c r="D57" s="17" t="inlineStr">
        <is>
          <t>#110</t>
        </is>
      </c>
      <c r="E57" s="17" t="inlineStr">
        <is>
          <t>#180</t>
        </is>
      </c>
      <c r="F57" s="17" t="inlineStr">
        <is>
          <t>Security Headers</t>
        </is>
      </c>
      <c r="G57" s="18" t="n">
        <v>75</v>
      </c>
      <c r="H57" s="17" t="inlineStr">
        <is>
          <t>In Review</t>
        </is>
      </c>
      <c r="I57" s="17" t="inlineStr">
        <is>
          <t>Algora / GitHub</t>
        </is>
      </c>
      <c r="J57" s="16" t="inlineStr">
        <is>
          <t>https://github.com/Lilly-Protocol/lily-frontend/pull/180</t>
        </is>
      </c>
    </row>
    <row r="58">
      <c r="A58" s="22" t="n">
        <v>46261</v>
      </c>
      <c r="B58" s="17" t="inlineStr">
        <is>
          <t>Lilly-Protocol</t>
        </is>
      </c>
      <c r="C58" s="17" t="inlineStr">
        <is>
          <t>Lilly-Protocol/lily-backend</t>
        </is>
      </c>
      <c r="D58" s="17" t="inlineStr">
        <is>
          <t>#143</t>
        </is>
      </c>
      <c r="E58" s="17" t="inlineStr">
        <is>
          <t>#227</t>
        </is>
      </c>
      <c r="F58" s="17" t="inlineStr">
        <is>
          <t>Coverage Thresholds</t>
        </is>
      </c>
      <c r="G58" s="18" t="n">
        <v>50</v>
      </c>
      <c r="H58" s="17" t="inlineStr">
        <is>
          <t>In Review</t>
        </is>
      </c>
      <c r="I58" s="17" t="inlineStr">
        <is>
          <t>Algora / GitHub</t>
        </is>
      </c>
      <c r="J58" s="16" t="inlineStr">
        <is>
          <t>https://github.com/Lilly-Protocol/lily-backend/pull/227</t>
        </is>
      </c>
    </row>
    <row r="59">
      <c r="A59" s="22" t="n">
        <v>46261</v>
      </c>
      <c r="B59" s="17" t="inlineStr">
        <is>
          <t>Lilly-Protocol</t>
        </is>
      </c>
      <c r="C59" s="17" t="inlineStr">
        <is>
          <t>Lilly-Protocol/lily-frontend</t>
        </is>
      </c>
      <c r="D59" s="17" t="inlineStr">
        <is>
          <t>#125</t>
        </is>
      </c>
      <c r="E59" s="17" t="inlineStr">
        <is>
          <t>#181</t>
        </is>
      </c>
      <c r="F59" s="17" t="inlineStr">
        <is>
          <t>Request ID Middleware</t>
        </is>
      </c>
      <c r="G59" s="18" t="n">
        <v>70</v>
      </c>
      <c r="H59" s="17" t="inlineStr">
        <is>
          <t>In Review</t>
        </is>
      </c>
      <c r="I59" s="17" t="inlineStr">
        <is>
          <t>Algora / GitHub</t>
        </is>
      </c>
      <c r="J59" s="16" t="inlineStr">
        <is>
          <t>https://github.com/Lilly-Protocol/lily-frontend/pull/181</t>
        </is>
      </c>
    </row>
    <row r="60">
      <c r="A60" s="22" t="n">
        <v>46261</v>
      </c>
      <c r="B60" s="17" t="inlineStr">
        <is>
          <t>Lilly-Protocol</t>
        </is>
      </c>
      <c r="C60" s="17" t="inlineStr">
        <is>
          <t>Lilly-Protocol/lily-frontend</t>
        </is>
      </c>
      <c r="D60" s="17" t="inlineStr">
        <is>
          <t>#113</t>
        </is>
      </c>
      <c r="E60" s="17" t="inlineStr">
        <is>
          <t>#182</t>
        </is>
      </c>
      <c r="F60" s="17" t="inlineStr">
        <is>
          <t>Timeline Component</t>
        </is>
      </c>
      <c r="G60" s="18" t="n">
        <v>75</v>
      </c>
      <c r="H60" s="17" t="inlineStr">
        <is>
          <t>In Review</t>
        </is>
      </c>
      <c r="I60" s="17" t="inlineStr">
        <is>
          <t>Algora / GitHub</t>
        </is>
      </c>
      <c r="J60" s="16" t="inlineStr">
        <is>
          <t>https://github.com/Lilly-Protocol/lily-frontend/pull/182</t>
        </is>
      </c>
    </row>
    <row r="61">
      <c r="A61" s="22" t="n">
        <v>46261</v>
      </c>
      <c r="B61" s="17" t="inlineStr">
        <is>
          <t>Lilly-Protocol</t>
        </is>
      </c>
      <c r="C61" s="17" t="inlineStr">
        <is>
          <t>Lilly-Protocol/lily-frontend</t>
        </is>
      </c>
      <c r="D61" s="17" t="inlineStr">
        <is>
          <t>#121</t>
        </is>
      </c>
      <c r="E61" s="17" t="inlineStr">
        <is>
          <t>#183</t>
        </is>
      </c>
      <c r="F61" s="17" t="inlineStr">
        <is>
          <t>App Icon Routes</t>
        </is>
      </c>
      <c r="G61" s="18" t="n">
        <v>60</v>
      </c>
      <c r="H61" s="17" t="inlineStr">
        <is>
          <t>In Review</t>
        </is>
      </c>
      <c r="I61" s="17" t="inlineStr">
        <is>
          <t>Algora / GitHub</t>
        </is>
      </c>
      <c r="J61" s="16" t="inlineStr">
        <is>
          <t>https://github.com/Lilly-Protocol/lily-frontend/pull/183</t>
        </is>
      </c>
    </row>
    <row r="62">
      <c r="A62" s="22" t="n">
        <v>46261</v>
      </c>
      <c r="B62" s="17" t="inlineStr">
        <is>
          <t>Lilly-Protocol</t>
        </is>
      </c>
      <c r="C62" s="17" t="inlineStr">
        <is>
          <t>Lilly-Protocol/lily-frontend</t>
        </is>
      </c>
      <c r="D62" s="17" t="inlineStr">
        <is>
          <t>#46</t>
        </is>
      </c>
      <c r="E62" s="17" t="inlineStr">
        <is>
          <t>#184</t>
        </is>
      </c>
      <c r="F62" s="17" t="inlineStr">
        <is>
          <t>Elevation Tokens</t>
        </is>
      </c>
      <c r="G62" s="18" t="n">
        <v>75</v>
      </c>
      <c r="H62" s="17" t="inlineStr">
        <is>
          <t>In Review</t>
        </is>
      </c>
      <c r="I62" s="17" t="inlineStr">
        <is>
          <t>Algora / GitHub</t>
        </is>
      </c>
      <c r="J62" s="16" t="inlineStr">
        <is>
          <t>https://github.com/Lilly-Protocol/lily-frontend/pull/184</t>
        </is>
      </c>
    </row>
    <row r="63">
      <c r="A63" s="22" t="n">
        <v>46261</v>
      </c>
      <c r="B63" s="17" t="inlineStr">
        <is>
          <t>Lilly-Protocol</t>
        </is>
      </c>
      <c r="C63" s="17" t="inlineStr">
        <is>
          <t>Lilly-Protocol/lily-frontend</t>
        </is>
      </c>
      <c r="D63" s="17" t="inlineStr">
        <is>
          <t>#30</t>
        </is>
      </c>
      <c r="E63" s="17" t="inlineStr">
        <is>
          <t>#185</t>
        </is>
      </c>
      <c r="F63" s="17" t="inlineStr">
        <is>
          <t>Axe Accessibility</t>
        </is>
      </c>
      <c r="G63" s="18" t="n">
        <v>75</v>
      </c>
      <c r="H63" s="17" t="inlineStr">
        <is>
          <t>In Review</t>
        </is>
      </c>
      <c r="I63" s="17" t="inlineStr">
        <is>
          <t>Algora / GitHub</t>
        </is>
      </c>
      <c r="J63" s="16" t="inlineStr">
        <is>
          <t>https://github.com/Lilly-Protocol/lily-frontend/pull/185</t>
        </is>
      </c>
    </row>
    <row r="64">
      <c r="A64" s="22" t="n">
        <v>46261</v>
      </c>
      <c r="B64" s="17" t="inlineStr">
        <is>
          <t>Lilly-Protocol</t>
        </is>
      </c>
      <c r="C64" s="17" t="inlineStr">
        <is>
          <t>Lilly-Protocol/lily-frontend</t>
        </is>
      </c>
      <c r="D64" s="17" t="inlineStr">
        <is>
          <t>#47</t>
        </is>
      </c>
      <c r="E64" s="17" t="inlineStr">
        <is>
          <t>#186</t>
        </is>
      </c>
      <c r="F64" s="17" t="inlineStr">
        <is>
          <t>ADR 0001 Architecture</t>
        </is>
      </c>
      <c r="G64" s="18" t="n">
        <v>75</v>
      </c>
      <c r="H64" s="17" t="inlineStr">
        <is>
          <t>In Review</t>
        </is>
      </c>
      <c r="I64" s="17" t="inlineStr">
        <is>
          <t>Algora / GitHub</t>
        </is>
      </c>
      <c r="J64" s="16" t="inlineStr">
        <is>
          <t>https://github.com/Lilly-Protocol/lily-frontend/pull/186</t>
        </is>
      </c>
    </row>
    <row r="65">
      <c r="A65" s="22" t="n">
        <v>46261</v>
      </c>
      <c r="B65" s="17" t="inlineStr">
        <is>
          <t>Lilly-Protocol</t>
        </is>
      </c>
      <c r="C65" s="17" t="inlineStr">
        <is>
          <t>Lilly-Protocol/lily-frontend</t>
        </is>
      </c>
      <c r="D65" s="17" t="inlineStr">
        <is>
          <t>#111</t>
        </is>
      </c>
      <c r="E65" s="17" t="inlineStr">
        <is>
          <t>#187</t>
        </is>
      </c>
      <c r="F65" s="17" t="inlineStr">
        <is>
          <t>Server Instrumentation</t>
        </is>
      </c>
      <c r="G65" s="18" t="n">
        <v>35</v>
      </c>
      <c r="H65" s="17" t="inlineStr">
        <is>
          <t>In Review</t>
        </is>
      </c>
      <c r="I65" s="17" t="inlineStr">
        <is>
          <t>Algora / GitHub</t>
        </is>
      </c>
      <c r="J65" s="16" t="inlineStr">
        <is>
          <t>https://github.com/Lilly-Protocol/lily-frontend/pull/187</t>
        </is>
      </c>
    </row>
    <row r="66">
      <c r="A66" s="22" t="n">
        <v>46261</v>
      </c>
      <c r="B66" s="17" t="inlineStr">
        <is>
          <t>OphirPay</t>
        </is>
      </c>
      <c r="C66" s="17" t="inlineStr">
        <is>
          <t>OphirPay/OphirPay</t>
        </is>
      </c>
      <c r="D66" s="17" t="inlineStr">
        <is>
          <t>#397</t>
        </is>
      </c>
      <c r="E66" s="17" t="inlineStr">
        <is>
          <t>#417</t>
        </is>
      </c>
      <c r="F66" s="17" t="inlineStr">
        <is>
          <t>Memo Sanitization &amp; XSS</t>
        </is>
      </c>
      <c r="G66" s="18" t="n">
        <v>200</v>
      </c>
      <c r="H66" s="17" t="inlineStr">
        <is>
          <t>In Review</t>
        </is>
      </c>
      <c r="I66" s="17" t="inlineStr">
        <is>
          <t>Algora / GitHub</t>
        </is>
      </c>
      <c r="J66" s="16" t="inlineStr">
        <is>
          <t>https://github.com/OphirPay/OphirPay/pull/417</t>
        </is>
      </c>
    </row>
    <row r="67">
      <c r="A67" s="22" t="n">
        <v>46261</v>
      </c>
      <c r="B67" s="17" t="inlineStr">
        <is>
          <t>OphirPay</t>
        </is>
      </c>
      <c r="C67" s="17" t="inlineStr">
        <is>
          <t>OphirPay/OphirPay</t>
        </is>
      </c>
      <c r="E67" s="17" t="inlineStr">
        <is>
          <t>#417</t>
        </is>
      </c>
      <c r="F67" s="17" t="inlineStr">
        <is>
          <t>OphirPay PR #417</t>
        </is>
      </c>
      <c r="G67" s="18" t="n">
        <v>200</v>
      </c>
      <c r="H67" s="17" t="inlineStr">
        <is>
          <t>In Review</t>
        </is>
      </c>
      <c r="I67" s="17" t="inlineStr">
        <is>
          <t>GitHub</t>
        </is>
      </c>
      <c r="J67" s="16" t="inlineStr">
        <is>
          <t>https://github.com/OphirPay/OphirPay/pull/417</t>
        </is>
      </c>
    </row>
    <row r="68">
      <c r="A68" s="22" t="n">
        <v>46261</v>
      </c>
      <c r="B68" s="17" t="inlineStr">
        <is>
          <t>Lilly-Protocol</t>
        </is>
      </c>
      <c r="C68" s="17" t="inlineStr">
        <is>
          <t>Lilly-Protocol/lily-frontend</t>
        </is>
      </c>
      <c r="E68" s="17" t="inlineStr">
        <is>
          <t>#178</t>
        </is>
      </c>
      <c r="F68" s="17" t="inlineStr">
        <is>
          <t>lily-frontend PR #178</t>
        </is>
      </c>
      <c r="G68" s="18" t="n">
        <v>100</v>
      </c>
      <c r="H68" s="17" t="inlineStr">
        <is>
          <t>In Review</t>
        </is>
      </c>
      <c r="I68" s="17" t="inlineStr">
        <is>
          <t>GitHub</t>
        </is>
      </c>
      <c r="J68" s="16" t="inlineStr">
        <is>
          <t>https://github.com/Lilly-Protocol/lily-frontend/pull/178</t>
        </is>
      </c>
    </row>
    <row r="69">
      <c r="A69" s="22" t="n">
        <v>46261</v>
      </c>
      <c r="B69" s="17" t="inlineStr">
        <is>
          <t>Lilly-Protocol</t>
        </is>
      </c>
      <c r="C69" s="17" t="inlineStr">
        <is>
          <t>Lilly-Protocol/lily-frontend</t>
        </is>
      </c>
      <c r="E69" s="17" t="inlineStr">
        <is>
          <t>#180</t>
        </is>
      </c>
      <c r="F69" s="17" t="inlineStr">
        <is>
          <t>lily-frontend PR #180</t>
        </is>
      </c>
      <c r="G69" s="18" t="n">
        <v>75</v>
      </c>
      <c r="H69" s="17" t="inlineStr">
        <is>
          <t>In Review</t>
        </is>
      </c>
      <c r="I69" s="17" t="inlineStr">
        <is>
          <t>GitHub</t>
        </is>
      </c>
      <c r="J69" s="16" t="inlineStr">
        <is>
          <t>https://github.com/Lilly-Protocol/lily-frontend/pull/180</t>
        </is>
      </c>
    </row>
    <row r="70">
      <c r="A70" s="22" t="n">
        <v>46261</v>
      </c>
      <c r="B70" s="17" t="inlineStr">
        <is>
          <t>Lilly-Protocol</t>
        </is>
      </c>
      <c r="C70" s="17" t="inlineStr">
        <is>
          <t>Lilly-Protocol/lily-backend</t>
        </is>
      </c>
      <c r="E70" s="17" t="inlineStr">
        <is>
          <t>#227</t>
        </is>
      </c>
      <c r="F70" s="17" t="inlineStr">
        <is>
          <t>lily-backend PR #227</t>
        </is>
      </c>
      <c r="G70" s="18" t="n">
        <v>50</v>
      </c>
      <c r="H70" s="17" t="inlineStr">
        <is>
          <t>In Review</t>
        </is>
      </c>
      <c r="I70" s="17" t="inlineStr">
        <is>
          <t>GitHub</t>
        </is>
      </c>
      <c r="J70" s="16" t="inlineStr">
        <is>
          <t>https://github.com/Lilly-Protocol/lily-backend/pull/227</t>
        </is>
      </c>
    </row>
    <row r="71">
      <c r="A71" s="22" t="n">
        <v>46261</v>
      </c>
      <c r="B71" s="17" t="inlineStr">
        <is>
          <t>Lilly-Protocol</t>
        </is>
      </c>
      <c r="C71" s="17" t="inlineStr">
        <is>
          <t>Lilly-Protocol/lily-frontend</t>
        </is>
      </c>
      <c r="E71" s="17" t="inlineStr">
        <is>
          <t>#181</t>
        </is>
      </c>
      <c r="F71" s="17" t="inlineStr">
        <is>
          <t>lily-frontend PR #181</t>
        </is>
      </c>
      <c r="G71" s="18" t="n">
        <v>70</v>
      </c>
      <c r="H71" s="17" t="inlineStr">
        <is>
          <t>In Review</t>
        </is>
      </c>
      <c r="I71" s="17" t="inlineStr">
        <is>
          <t>GitHub</t>
        </is>
      </c>
      <c r="J71" s="16" t="inlineStr">
        <is>
          <t>https://github.com/Lilly-Protocol/lily-frontend/pull/181</t>
        </is>
      </c>
    </row>
    <row r="72">
      <c r="A72" s="22" t="n">
        <v>46261</v>
      </c>
      <c r="B72" s="17" t="inlineStr">
        <is>
          <t>Lilly-Protocol</t>
        </is>
      </c>
      <c r="C72" s="17" t="inlineStr">
        <is>
          <t>Lilly-Protocol/lily-frontend</t>
        </is>
      </c>
      <c r="E72" s="17" t="inlineStr">
        <is>
          <t>#182</t>
        </is>
      </c>
      <c r="F72" s="17" t="inlineStr">
        <is>
          <t>lily-frontend PR #182</t>
        </is>
      </c>
      <c r="G72" s="18" t="n">
        <v>75</v>
      </c>
      <c r="H72" s="17" t="inlineStr">
        <is>
          <t>In Review</t>
        </is>
      </c>
      <c r="I72" s="17" t="inlineStr">
        <is>
          <t>GitHub</t>
        </is>
      </c>
      <c r="J72" s="16" t="inlineStr">
        <is>
          <t>https://github.com/Lilly-Protocol/lily-frontend/pull/182</t>
        </is>
      </c>
    </row>
    <row r="73">
      <c r="A73" s="22" t="n">
        <v>46261</v>
      </c>
      <c r="B73" s="17" t="inlineStr">
        <is>
          <t>Lilly-Protocol</t>
        </is>
      </c>
      <c r="C73" s="17" t="inlineStr">
        <is>
          <t>Lilly-Protocol/lily-frontend</t>
        </is>
      </c>
      <c r="E73" s="17" t="inlineStr">
        <is>
          <t>#183</t>
        </is>
      </c>
      <c r="F73" s="17" t="inlineStr">
        <is>
          <t>lily-frontend PR #183</t>
        </is>
      </c>
      <c r="G73" s="18" t="n">
        <v>60</v>
      </c>
      <c r="H73" s="17" t="inlineStr">
        <is>
          <t>In Review</t>
        </is>
      </c>
      <c r="I73" s="17" t="inlineStr">
        <is>
          <t>GitHub</t>
        </is>
      </c>
      <c r="J73" s="16" t="inlineStr">
        <is>
          <t>https://github.com/Lilly-Protocol/lily-frontend/pull/183</t>
        </is>
      </c>
    </row>
    <row r="74">
      <c r="A74" s="22" t="n">
        <v>46261</v>
      </c>
      <c r="B74" s="17" t="inlineStr">
        <is>
          <t>Lilly-Protocol</t>
        </is>
      </c>
      <c r="C74" s="17" t="inlineStr">
        <is>
          <t>Lilly-Protocol/lily-frontend</t>
        </is>
      </c>
      <c r="E74" s="17" t="inlineStr">
        <is>
          <t>#184</t>
        </is>
      </c>
      <c r="F74" s="17" t="inlineStr">
        <is>
          <t>lily-frontend PR #184</t>
        </is>
      </c>
      <c r="G74" s="18" t="n">
        <v>75</v>
      </c>
      <c r="H74" s="17" t="inlineStr">
        <is>
          <t>In Review</t>
        </is>
      </c>
      <c r="I74" s="17" t="inlineStr">
        <is>
          <t>GitHub</t>
        </is>
      </c>
      <c r="J74" s="16" t="inlineStr">
        <is>
          <t>https://github.com/Lilly-Protocol/lily-frontend/pull/184</t>
        </is>
      </c>
    </row>
    <row r="75">
      <c r="A75" s="22" t="n">
        <v>46261</v>
      </c>
      <c r="B75" s="17" t="inlineStr">
        <is>
          <t>Lilly-Protocol</t>
        </is>
      </c>
      <c r="C75" s="17" t="inlineStr">
        <is>
          <t>Lilly-Protocol/lily-frontend</t>
        </is>
      </c>
      <c r="E75" s="17" t="inlineStr">
        <is>
          <t>#185</t>
        </is>
      </c>
      <c r="F75" s="17" t="inlineStr">
        <is>
          <t>lily-frontend PR #185</t>
        </is>
      </c>
      <c r="G75" s="18" t="n">
        <v>75</v>
      </c>
      <c r="H75" s="17" t="inlineStr">
        <is>
          <t>In Review</t>
        </is>
      </c>
      <c r="I75" s="17" t="inlineStr">
        <is>
          <t>GitHub</t>
        </is>
      </c>
      <c r="J75" s="16" t="inlineStr">
        <is>
          <t>https://github.com/Lilly-Protocol/lily-frontend/pull/185</t>
        </is>
      </c>
    </row>
    <row r="76">
      <c r="A76" s="22" t="n">
        <v>46261</v>
      </c>
      <c r="B76" s="17" t="inlineStr">
        <is>
          <t>Lilly-Protocol</t>
        </is>
      </c>
      <c r="C76" s="17" t="inlineStr">
        <is>
          <t>Lilly-Protocol/lily-frontend</t>
        </is>
      </c>
      <c r="E76" s="17" t="inlineStr">
        <is>
          <t>#186</t>
        </is>
      </c>
      <c r="F76" s="17" t="inlineStr">
        <is>
          <t>lily-frontend PR #186</t>
        </is>
      </c>
      <c r="G76" s="18" t="n">
        <v>75</v>
      </c>
      <c r="H76" s="17" t="inlineStr">
        <is>
          <t>In Review</t>
        </is>
      </c>
      <c r="I76" s="17" t="inlineStr">
        <is>
          <t>GitHub</t>
        </is>
      </c>
      <c r="J76" s="16" t="inlineStr">
        <is>
          <t>https://github.com/Lilly-Protocol/lily-frontend/pull/186</t>
        </is>
      </c>
    </row>
    <row r="77">
      <c r="A77" s="22" t="n">
        <v>46261</v>
      </c>
      <c r="B77" s="17" t="inlineStr">
        <is>
          <t>Lilly-Protocol</t>
        </is>
      </c>
      <c r="C77" s="17" t="inlineStr">
        <is>
          <t>Lilly-Protocol/lily-frontend</t>
        </is>
      </c>
      <c r="E77" s="17" t="inlineStr">
        <is>
          <t>#187</t>
        </is>
      </c>
      <c r="F77" s="17" t="inlineStr">
        <is>
          <t>lily-frontend PR #187</t>
        </is>
      </c>
      <c r="G77" s="18" t="n">
        <v>35</v>
      </c>
      <c r="H77" s="17" t="inlineStr">
        <is>
          <t>In Review</t>
        </is>
      </c>
      <c r="I77" s="17" t="inlineStr">
        <is>
          <t>GitHub</t>
        </is>
      </c>
      <c r="J77" s="16" t="inlineStr">
        <is>
          <t>https://github.com/Lilly-Protocol/lily-frontend/pull/187</t>
        </is>
      </c>
    </row>
    <row r="78">
      <c r="A78" s="22" t="n">
        <v>45589</v>
      </c>
      <c r="B78" s="17" t="inlineStr">
        <is>
          <t>Lilly-Protocol</t>
        </is>
      </c>
      <c r="C78" s="17" t="inlineStr">
        <is>
          <t>repo</t>
        </is>
      </c>
      <c r="D78" s="17" t="inlineStr">
        <is>
          <t>issue</t>
        </is>
      </c>
      <c r="E78" s="17" t="inlineStr">
        <is>
          <t>pr</t>
        </is>
      </c>
      <c r="F78" s="17" t="inlineStr">
        <is>
          <t>feature</t>
        </is>
      </c>
      <c r="G78" s="18" t="n">
        <v>90</v>
      </c>
      <c r="H78" s="17" t="inlineStr">
        <is>
          <t>Pending</t>
        </is>
      </c>
      <c r="I78" s="17" t="inlineStr">
        <is>
          <t>GitHub</t>
        </is>
      </c>
      <c r="J78" s="17" t="inlineStr">
        <is>
          <t>link</t>
        </is>
      </c>
    </row>
    <row r="79">
      <c r="A79" s="22" t="n">
        <v>45589</v>
      </c>
      <c r="B79" s="17" t="inlineStr">
        <is>
          <t>Lilly-Protocol</t>
        </is>
      </c>
      <c r="C79" s="17" t="inlineStr">
        <is>
          <t>repo</t>
        </is>
      </c>
      <c r="D79" s="17" t="inlineStr">
        <is>
          <t>issue</t>
        </is>
      </c>
      <c r="E79" s="17" t="inlineStr">
        <is>
          <t>pr</t>
        </is>
      </c>
      <c r="F79" s="17" t="inlineStr">
        <is>
          <t>feature</t>
        </is>
      </c>
      <c r="G79" s="18" t="n">
        <v>90</v>
      </c>
      <c r="H79" s="17" t="inlineStr">
        <is>
          <t>Pending</t>
        </is>
      </c>
      <c r="I79" s="17" t="inlineStr">
        <is>
          <t>GitHub</t>
        </is>
      </c>
      <c r="J79" s="17" t="inlineStr">
        <is>
          <t>link</t>
        </is>
      </c>
    </row>
    <row r="80">
      <c r="A80" s="22" t="n">
        <v>45589</v>
      </c>
      <c r="B80" s="17" t="inlineStr">
        <is>
          <t>Lilly-Protocol</t>
        </is>
      </c>
      <c r="C80" s="17" t="inlineStr">
        <is>
          <t>repo</t>
        </is>
      </c>
      <c r="D80" s="17" t="inlineStr">
        <is>
          <t>issue</t>
        </is>
      </c>
      <c r="E80" s="17" t="inlineStr">
        <is>
          <t>pr</t>
        </is>
      </c>
      <c r="F80" s="17" t="inlineStr">
        <is>
          <t>feature</t>
        </is>
      </c>
      <c r="G80" s="18" t="n">
        <v>90</v>
      </c>
      <c r="H80" s="17" t="inlineStr">
        <is>
          <t>Pending</t>
        </is>
      </c>
      <c r="I80" s="17" t="inlineStr">
        <is>
          <t>GitHub</t>
        </is>
      </c>
      <c r="J80" s="17" t="inlineStr">
        <is>
          <t>link</t>
        </is>
      </c>
    </row>
    <row r="81">
      <c r="A81" s="22" t="n">
        <v>45589</v>
      </c>
      <c r="B81" s="17" t="inlineStr">
        <is>
          <t>Lilly-Protocol</t>
        </is>
      </c>
      <c r="C81" s="17" t="inlineStr">
        <is>
          <t>repo</t>
        </is>
      </c>
      <c r="D81" s="17" t="inlineStr">
        <is>
          <t>issue</t>
        </is>
      </c>
      <c r="E81" s="17" t="inlineStr">
        <is>
          <t>pr</t>
        </is>
      </c>
      <c r="F81" s="17" t="inlineStr">
        <is>
          <t>feature</t>
        </is>
      </c>
      <c r="G81" s="18" t="n">
        <v>90</v>
      </c>
      <c r="H81" s="17" t="inlineStr">
        <is>
          <t>Pending</t>
        </is>
      </c>
      <c r="I81" s="17" t="inlineStr">
        <is>
          <t>GitHub</t>
        </is>
      </c>
      <c r="J81" s="17" t="inlineStr">
        <is>
          <t>link</t>
        </is>
      </c>
    </row>
    <row r="82">
      <c r="A82" s="22" t="n">
        <v>45589</v>
      </c>
      <c r="B82" s="17" t="inlineStr">
        <is>
          <t>Lilly-Protocol</t>
        </is>
      </c>
      <c r="C82" s="17" t="inlineStr">
        <is>
          <t>repo</t>
        </is>
      </c>
      <c r="D82" s="17" t="inlineStr">
        <is>
          <t>issue</t>
        </is>
      </c>
      <c r="E82" s="17" t="inlineStr">
        <is>
          <t>pr</t>
        </is>
      </c>
      <c r="F82" s="17" t="inlineStr">
        <is>
          <t>feature</t>
        </is>
      </c>
      <c r="G82" s="18" t="n">
        <v>90</v>
      </c>
      <c r="H82" s="17" t="inlineStr">
        <is>
          <t>Pending</t>
        </is>
      </c>
      <c r="I82" s="17" t="inlineStr">
        <is>
          <t>GitHub</t>
        </is>
      </c>
      <c r="J82" s="17" t="inlineStr">
        <is>
          <t>link</t>
        </is>
      </c>
    </row>
    <row r="83">
      <c r="A83" s="22" t="n">
        <v>45589</v>
      </c>
      <c r="B83" s="17" t="inlineStr">
        <is>
          <t>Lilly-Protocol</t>
        </is>
      </c>
      <c r="C83" s="17" t="inlineStr">
        <is>
          <t>repo</t>
        </is>
      </c>
      <c r="D83" s="17" t="inlineStr">
        <is>
          <t>issue</t>
        </is>
      </c>
      <c r="E83" s="17" t="inlineStr">
        <is>
          <t>pr</t>
        </is>
      </c>
      <c r="F83" s="17" t="inlineStr">
        <is>
          <t>feature</t>
        </is>
      </c>
      <c r="G83" s="18" t="n">
        <v>90</v>
      </c>
      <c r="H83" s="17" t="inlineStr">
        <is>
          <t>Pending</t>
        </is>
      </c>
      <c r="I83" s="17" t="inlineStr">
        <is>
          <t>GitHub</t>
        </is>
      </c>
      <c r="J83" s="17" t="inlineStr">
        <is>
          <t>link</t>
        </is>
      </c>
    </row>
    <row r="84">
      <c r="A84" s="22" t="n">
        <v>45589</v>
      </c>
      <c r="B84" s="17" t="inlineStr">
        <is>
          <t>Lilly-Protocol</t>
        </is>
      </c>
      <c r="C84" s="17" t="inlineStr">
        <is>
          <t>repo</t>
        </is>
      </c>
      <c r="D84" s="17" t="inlineStr">
        <is>
          <t>issue</t>
        </is>
      </c>
      <c r="E84" s="17" t="inlineStr">
        <is>
          <t>pr</t>
        </is>
      </c>
      <c r="F84" s="17" t="inlineStr">
        <is>
          <t>feature</t>
        </is>
      </c>
      <c r="G84" s="18" t="n">
        <v>90</v>
      </c>
      <c r="H84" s="17" t="inlineStr">
        <is>
          <t>Pending</t>
        </is>
      </c>
      <c r="I84" s="17" t="inlineStr">
        <is>
          <t>GitHub</t>
        </is>
      </c>
      <c r="J84" s="17" t="inlineStr">
        <is>
          <t>link</t>
        </is>
      </c>
    </row>
    <row r="85">
      <c r="A85" s="22" t="n">
        <v>45589</v>
      </c>
      <c r="B85" s="17" t="inlineStr">
        <is>
          <t>OphirPay</t>
        </is>
      </c>
      <c r="C85" s="17" t="inlineStr">
        <is>
          <t>repo</t>
        </is>
      </c>
      <c r="D85" s="17" t="inlineStr">
        <is>
          <t>issue</t>
        </is>
      </c>
      <c r="E85" s="17" t="inlineStr">
        <is>
          <t>pr</t>
        </is>
      </c>
      <c r="F85" s="17" t="inlineStr">
        <is>
          <t>feature</t>
        </is>
      </c>
      <c r="G85" s="18" t="n">
        <v>90</v>
      </c>
      <c r="H85" s="17" t="inlineStr">
        <is>
          <t>Pending</t>
        </is>
      </c>
      <c r="I85" s="17" t="inlineStr">
        <is>
          <t>GitHub</t>
        </is>
      </c>
      <c r="J85" s="17" t="inlineStr">
        <is>
          <t>link</t>
        </is>
      </c>
    </row>
    <row r="86">
      <c r="A86" s="22" t="n">
        <v>45589</v>
      </c>
      <c r="B86" s="17" t="inlineStr">
        <is>
          <t>OphirPay</t>
        </is>
      </c>
      <c r="C86" s="17" t="inlineStr">
        <is>
          <t>repo</t>
        </is>
      </c>
      <c r="D86" s="17" t="inlineStr">
        <is>
          <t>issue</t>
        </is>
      </c>
      <c r="E86" s="17" t="inlineStr">
        <is>
          <t>pr</t>
        </is>
      </c>
      <c r="F86" s="17" t="inlineStr">
        <is>
          <t>feature</t>
        </is>
      </c>
      <c r="G86" s="18" t="n">
        <v>90</v>
      </c>
      <c r="H86" s="17" t="inlineStr">
        <is>
          <t>Pending</t>
        </is>
      </c>
      <c r="I86" s="17" t="inlineStr">
        <is>
          <t>GitHub</t>
        </is>
      </c>
      <c r="J86" s="17" t="inlineStr">
        <is>
          <t>link</t>
        </is>
      </c>
    </row>
    <row r="87">
      <c r="A87" s="22" t="n">
        <v>45589</v>
      </c>
      <c r="B87" s="17" t="inlineStr">
        <is>
          <t>OphirPay</t>
        </is>
      </c>
      <c r="C87" s="17" t="inlineStr">
        <is>
          <t>repo</t>
        </is>
      </c>
      <c r="D87" s="17" t="inlineStr">
        <is>
          <t>issue</t>
        </is>
      </c>
      <c r="E87" s="17" t="inlineStr">
        <is>
          <t>pr</t>
        </is>
      </c>
      <c r="F87" s="17" t="inlineStr">
        <is>
          <t>feature</t>
        </is>
      </c>
      <c r="G87" s="18" t="n">
        <v>90</v>
      </c>
      <c r="H87" s="17" t="inlineStr">
        <is>
          <t>Pending</t>
        </is>
      </c>
      <c r="I87" s="17" t="inlineStr">
        <is>
          <t>GitHub</t>
        </is>
      </c>
      <c r="J87" s="17" t="inlineStr">
        <is>
          <t>link</t>
        </is>
      </c>
    </row>
    <row r="88">
      <c r="A88" s="22" t="n">
        <v>45589</v>
      </c>
      <c r="B88" s="17" t="inlineStr">
        <is>
          <t>OphirPay</t>
        </is>
      </c>
      <c r="C88" s="17" t="inlineStr">
        <is>
          <t>repo</t>
        </is>
      </c>
      <c r="D88" s="17" t="inlineStr">
        <is>
          <t>issue</t>
        </is>
      </c>
      <c r="E88" s="17" t="inlineStr">
        <is>
          <t>pr</t>
        </is>
      </c>
      <c r="F88" s="17" t="inlineStr">
        <is>
          <t>feature</t>
        </is>
      </c>
      <c r="G88" s="18" t="n">
        <v>90</v>
      </c>
      <c r="H88" s="17" t="inlineStr">
        <is>
          <t>Pending</t>
        </is>
      </c>
      <c r="I88" s="17" t="inlineStr">
        <is>
          <t>GitHub</t>
        </is>
      </c>
      <c r="J88" s="17" t="inlineStr">
        <is>
          <t>link</t>
        </is>
      </c>
    </row>
    <row r="89">
      <c r="A89" s="22" t="n">
        <v>45589</v>
      </c>
      <c r="B89" s="17" t="inlineStr">
        <is>
          <t>OphirPay</t>
        </is>
      </c>
      <c r="C89" s="17" t="inlineStr">
        <is>
          <t>repo</t>
        </is>
      </c>
      <c r="D89" s="17" t="inlineStr">
        <is>
          <t>issue</t>
        </is>
      </c>
      <c r="E89" s="17" t="inlineStr">
        <is>
          <t>pr</t>
        </is>
      </c>
      <c r="F89" s="17" t="inlineStr">
        <is>
          <t>feature</t>
        </is>
      </c>
      <c r="G89" s="18" t="n">
        <v>100</v>
      </c>
      <c r="H89" s="17" t="inlineStr">
        <is>
          <t>Pending</t>
        </is>
      </c>
      <c r="I89" s="17" t="inlineStr">
        <is>
          <t>GitHub</t>
        </is>
      </c>
      <c r="J89" s="17" t="inlineStr">
        <is>
          <t>link</t>
        </is>
      </c>
    </row>
    <row r="90">
      <c r="A90" s="22" t="n">
        <v>46261</v>
      </c>
      <c r="B90" s="17" t="inlineStr">
        <is>
          <t>OphirPay</t>
        </is>
      </c>
      <c r="C90" s="17" t="inlineStr">
        <is>
          <t>ophirpay/ophirpay</t>
        </is>
      </c>
      <c r="D90" s="17" t="inlineStr">
        <is>
          <t>#396</t>
        </is>
      </c>
      <c r="F90" s="17" t="inlineStr">
        <is>
          <t>Wallet Auth Rate Limiting</t>
        </is>
      </c>
      <c r="G90" s="18" t="n">
        <v>200</v>
      </c>
      <c r="H90" s="17" t="inlineStr">
        <is>
          <t>In Review</t>
        </is>
      </c>
      <c r="I90" s="17" t="inlineStr">
        <is>
          <t>Algora / GitHub</t>
        </is>
      </c>
    </row>
    <row r="91">
      <c r="A91" s="22" t="n">
        <v>46261</v>
      </c>
      <c r="B91" s="17" t="inlineStr">
        <is>
          <t>OphirPay</t>
        </is>
      </c>
      <c r="C91" s="17" t="inlineStr">
        <is>
          <t>ophirpay/ophirpay</t>
        </is>
      </c>
      <c r="D91" s="17" t="inlineStr">
        <is>
          <t>#406</t>
        </is>
      </c>
      <c r="F91" s="17" t="inlineStr">
        <is>
          <t>CI Playwright Matrix Sharding</t>
        </is>
      </c>
      <c r="G91" s="18" t="n">
        <v>200</v>
      </c>
      <c r="H91" s="17" t="inlineStr">
        <is>
          <t>In Review</t>
        </is>
      </c>
      <c r="I91" s="17" t="inlineStr">
        <is>
          <t>Algora / GitHub</t>
        </is>
      </c>
    </row>
    <row r="92">
      <c r="A92" s="22" t="n">
        <v>46261</v>
      </c>
      <c r="B92" s="17" t="inlineStr">
        <is>
          <t>OphirPay</t>
        </is>
      </c>
      <c r="C92" s="17" t="inlineStr">
        <is>
          <t>ophirpay/ophirpay</t>
        </is>
      </c>
      <c r="D92" s="17" t="inlineStr">
        <is>
          <t>#401</t>
        </is>
      </c>
      <c r="F92" s="17" t="inlineStr">
        <is>
          <t>Mainnet Deployment Runbook</t>
        </is>
      </c>
      <c r="G92" s="18" t="n">
        <v>200</v>
      </c>
      <c r="H92" s="17" t="inlineStr">
        <is>
          <t>In Review</t>
        </is>
      </c>
      <c r="I92" s="17" t="inlineStr">
        <is>
          <t>Algora / GitHub</t>
        </is>
      </c>
    </row>
    <row r="93">
      <c r="A93" s="22" t="n">
        <v>46261</v>
      </c>
      <c r="B93" s="17" t="inlineStr">
        <is>
          <t>OphirPay</t>
        </is>
      </c>
      <c r="C93" s="17" t="inlineStr">
        <is>
          <t>ophirpay/ophirpay</t>
        </is>
      </c>
      <c r="D93" s="17" t="inlineStr">
        <is>
          <t>#400</t>
        </is>
      </c>
      <c r="F93" s="17" t="inlineStr">
        <is>
          <t>Contributing &amp; Bounty Guide</t>
        </is>
      </c>
      <c r="G93" s="18" t="n">
        <v>200</v>
      </c>
      <c r="H93" s="17" t="inlineStr">
        <is>
          <t>In Review</t>
        </is>
      </c>
      <c r="I93" s="17" t="inlineStr">
        <is>
          <t>Algora / GitHub</t>
        </is>
      </c>
    </row>
    <row r="94">
      <c r="A94" s="22" t="n">
        <v>46261</v>
      </c>
      <c r="B94" s="17" t="inlineStr">
        <is>
          <t>Lily</t>
        </is>
      </c>
      <c r="C94" s="17" t="inlineStr">
        <is>
          <t>lily-app/lily-frontend</t>
        </is>
      </c>
      <c r="D94" s="17" t="inlineStr">
        <is>
          <t>#118</t>
        </is>
      </c>
      <c r="F94" s="17" t="inlineStr">
        <is>
          <t>Responsive Mobile Nav Menu</t>
        </is>
      </c>
      <c r="G94" s="18" t="n">
        <v>30</v>
      </c>
      <c r="H94" s="17" t="inlineStr">
        <is>
          <t>In Review</t>
        </is>
      </c>
      <c r="I94" s="17" t="inlineStr">
        <is>
          <t>Algora / GitHub</t>
        </is>
      </c>
    </row>
    <row r="95">
      <c r="A95" s="22" t="n">
        <v>46261</v>
      </c>
      <c r="B95" s="17" t="inlineStr">
        <is>
          <t>Lily</t>
        </is>
      </c>
      <c r="C95" s="17" t="inlineStr">
        <is>
          <t>lily-app/lily-frontend</t>
        </is>
      </c>
      <c r="D95" s="17" t="inlineStr">
        <is>
          <t>#119</t>
        </is>
      </c>
      <c r="F95" s="17" t="inlineStr">
        <is>
          <t>Active Route aria-current</t>
        </is>
      </c>
      <c r="G95" s="18" t="n">
        <v>25</v>
      </c>
      <c r="H95" s="17" t="inlineStr">
        <is>
          <t>In Review</t>
        </is>
      </c>
      <c r="I95" s="17" t="inlineStr">
        <is>
          <t>Algora / GitHub</t>
        </is>
      </c>
    </row>
    <row r="96">
      <c r="A96" s="22" t="n">
        <v>46261</v>
      </c>
      <c r="B96" s="17" t="inlineStr">
        <is>
          <t>Lily</t>
        </is>
      </c>
      <c r="C96" s="17" t="inlineStr">
        <is>
          <t>lily-app/lily-frontend</t>
        </is>
      </c>
      <c r="D96" s="17" t="inlineStr">
        <is>
          <t>#112</t>
        </is>
      </c>
      <c r="F96" s="17" t="inlineStr">
        <is>
          <t>Shared Site Footer</t>
        </is>
      </c>
      <c r="G96" s="18" t="n">
        <v>20</v>
      </c>
      <c r="H96" s="17" t="inlineStr">
        <is>
          <t>In Review</t>
        </is>
      </c>
      <c r="I96" s="17" t="inlineStr">
        <is>
          <t>Algora / GitHub</t>
        </is>
      </c>
    </row>
    <row r="97">
      <c r="A97" s="22" t="n">
        <v>46261</v>
      </c>
      <c r="B97" s="17" t="inlineStr">
        <is>
          <t>Lily</t>
        </is>
      </c>
      <c r="C97" s="17" t="inlineStr">
        <is>
          <t>lily-app/lily-frontend</t>
        </is>
      </c>
      <c r="D97" s="17" t="inlineStr">
        <is>
          <t>#44</t>
        </is>
      </c>
      <c r="F97" s="17" t="inlineStr">
        <is>
          <t>Typography Scale Tokens</t>
        </is>
      </c>
      <c r="G97" s="18" t="n">
        <v>90</v>
      </c>
      <c r="H97" s="17" t="inlineStr">
        <is>
          <t>In Review</t>
        </is>
      </c>
      <c r="I97" s="17" t="inlineStr">
        <is>
          <t>Algora / GitHub</t>
        </is>
      </c>
    </row>
    <row r="98">
      <c r="B98" s="17" t="inlineStr">
        <is>
          <t>Exo</t>
        </is>
      </c>
      <c r="C98" s="17" t="inlineStr">
        <is>
          <t>Distributed Inference</t>
        </is>
      </c>
      <c r="E98" s="17" t="inlineStr">
        <is>
          <t>#283</t>
        </is>
      </c>
      <c r="F98" s="17" t="inlineStr">
        <is>
          <t>Multi-Model Fix</t>
        </is>
      </c>
      <c r="G98" s="18" t="n">
        <v>500</v>
      </c>
      <c r="H98" s="17" t="inlineStr">
        <is>
          <t>Verified</t>
        </is>
      </c>
      <c r="I98" s="17" t="inlineStr">
        <is>
          <t>Algora</t>
        </is>
      </c>
    </row>
    <row r="99">
      <c r="B99" s="17" t="inlineStr">
        <is>
          <t>Twenty CRM</t>
        </is>
      </c>
      <c r="C99" s="17" t="inlineStr">
        <is>
          <t>Workflow Engine</t>
        </is>
      </c>
      <c r="E99" s="17" t="inlineStr">
        <is>
          <t>#1105</t>
        </is>
      </c>
      <c r="F99" s="17" t="inlineStr">
        <is>
          <t>Graph Task Fix</t>
        </is>
      </c>
      <c r="G99" s="18" t="n">
        <v>350</v>
      </c>
      <c r="H99" s="17" t="inlineStr">
        <is>
          <t>Verified</t>
        </is>
      </c>
      <c r="I99" s="17" t="inlineStr">
        <is>
          <t>Algora</t>
        </is>
      </c>
    </row>
    <row r="100">
      <c r="B100" s="16" t="inlineStr">
        <is>
          <t>Cal.com</t>
        </is>
      </c>
      <c r="C100" s="17" t="inlineStr">
        <is>
          <t>Scheduling Routing</t>
        </is>
      </c>
      <c r="E100" s="17" t="inlineStr">
        <is>
          <t>#5291</t>
        </is>
      </c>
      <c r="F100" s="17" t="inlineStr">
        <is>
          <t>Slot Timezone Fix</t>
        </is>
      </c>
      <c r="G100" s="18" t="n">
        <v>300</v>
      </c>
      <c r="H100" s="17" t="inlineStr">
        <is>
          <t>Verified</t>
        </is>
      </c>
      <c r="I100" s="17" t="inlineStr">
        <is>
          <t>Algora</t>
        </is>
      </c>
    </row>
    <row r="101">
      <c r="B101" s="17" t="inlineStr">
        <is>
          <t>Lily Protocol</t>
        </is>
      </c>
      <c r="C101" s="17" t="inlineStr">
        <is>
          <t>Soroban Payments</t>
        </is>
      </c>
      <c r="E101" s="17" t="inlineStr">
        <is>
          <t>#14</t>
        </is>
      </c>
      <c r="F101" s="17" t="inlineStr">
        <is>
          <t>Soroban Auth Fix</t>
        </is>
      </c>
      <c r="G101" s="18" t="n">
        <v>300</v>
      </c>
      <c r="H101" s="17" t="inlineStr">
        <is>
          <t>Verified</t>
        </is>
      </c>
      <c r="I101" s="17" t="inlineStr">
        <is>
          <t>Stellar</t>
        </is>
      </c>
    </row>
    <row r="102">
      <c r="B102" s="17" t="inlineStr">
        <is>
          <t>Documenso</t>
        </is>
      </c>
      <c r="C102" s="17" t="inlineStr">
        <is>
          <t>PDF Sign Logic</t>
        </is>
      </c>
      <c r="E102" s="17" t="inlineStr">
        <is>
          <t>#412</t>
        </is>
      </c>
      <c r="F102" s="17" t="inlineStr">
        <is>
          <t>Hash Signature</t>
        </is>
      </c>
      <c r="G102" s="18" t="n">
        <v>250</v>
      </c>
      <c r="H102" s="17" t="inlineStr">
        <is>
          <t>Verified</t>
        </is>
      </c>
      <c r="I102" s="17" t="inlineStr">
        <is>
          <t>Algora</t>
        </is>
      </c>
    </row>
    <row r="103">
      <c r="B103" s="17" t="inlineStr">
        <is>
          <t>Cap</t>
        </is>
      </c>
      <c r="C103" s="17" t="inlineStr">
        <is>
          <t>Chrome Extension</t>
        </is>
      </c>
      <c r="E103" s="17" t="inlineStr">
        <is>
          <t>#88</t>
        </is>
      </c>
      <c r="F103" s="17" t="inlineStr">
        <is>
          <t>Tab Audio Stream</t>
        </is>
      </c>
      <c r="G103" s="18" t="n">
        <v>200</v>
      </c>
      <c r="H103" s="17" t="inlineStr">
        <is>
          <t>Verified</t>
        </is>
      </c>
      <c r="I103" s="17" t="inlineStr">
        <is>
          <t>Algora</t>
        </is>
      </c>
    </row>
    <row r="104">
      <c r="B104" s="17" t="inlineStr">
        <is>
          <t>TSCircuit</t>
        </is>
      </c>
      <c r="C104" s="17" t="inlineStr">
        <is>
          <t>schematic-trace</t>
        </is>
      </c>
      <c r="E104" s="17" t="inlineStr">
        <is>
          <t>#82</t>
        </is>
      </c>
      <c r="F104" s="17" t="inlineStr">
        <is>
          <t>Label Solver Bounds</t>
        </is>
      </c>
      <c r="G104" s="18" t="n">
        <v>150</v>
      </c>
      <c r="H104" s="17" t="inlineStr">
        <is>
          <t>Verified</t>
        </is>
      </c>
      <c r="I104" s="17" t="inlineStr">
        <is>
          <t>Algora</t>
        </is>
      </c>
    </row>
    <row r="105">
      <c r="B105" s="17" t="inlineStr">
        <is>
          <t>ProjectDiscovery</t>
        </is>
      </c>
      <c r="C105" s="17" t="inlineStr">
        <is>
          <t>dnsx</t>
        </is>
      </c>
      <c r="E105" s="17" t="inlineStr">
        <is>
          <t>#940</t>
        </is>
      </c>
      <c r="F105" s="17" t="inlineStr">
        <is>
          <t>CLI Stream Output</t>
        </is>
      </c>
      <c r="G105" s="18" t="n">
        <v>100</v>
      </c>
      <c r="H105" s="17" t="inlineStr">
        <is>
          <t>Verified</t>
        </is>
      </c>
      <c r="I105" s="17" t="inlineStr">
        <is>
          <t>Algora</t>
        </is>
      </c>
    </row>
    <row r="106">
      <c r="G106" s="18" t="n"/>
    </row>
    <row r="107">
      <c r="G107" s="18" t="n"/>
    </row>
    <row r="108">
      <c r="G108" s="18" t="n"/>
    </row>
    <row r="109">
      <c r="G109" s="18" t="n"/>
    </row>
    <row r="110">
      <c r="G110" s="18" t="n"/>
    </row>
    <row r="111">
      <c r="G111" s="18" t="n"/>
    </row>
    <row r="112">
      <c r="G112" s="18" t="n"/>
    </row>
    <row r="113">
      <c r="G113" s="18" t="n"/>
    </row>
    <row r="114">
      <c r="G114" s="18" t="n"/>
    </row>
    <row r="115">
      <c r="G115" s="18" t="n"/>
    </row>
    <row r="116">
      <c r="G116" s="18" t="n"/>
    </row>
    <row r="117">
      <c r="G117" s="18" t="n"/>
    </row>
    <row r="118">
      <c r="G118" s="18" t="n"/>
    </row>
    <row r="119">
      <c r="G119" s="18" t="n"/>
    </row>
    <row r="120">
      <c r="G120" s="18" t="n"/>
    </row>
    <row r="121">
      <c r="G121" s="18" t="n"/>
    </row>
    <row r="122">
      <c r="G122" s="18" t="n"/>
    </row>
    <row r="123">
      <c r="G123" s="18" t="n"/>
    </row>
    <row r="124">
      <c r="G124" s="18" t="n"/>
    </row>
    <row r="125">
      <c r="G125" s="18" t="n"/>
    </row>
    <row r="126">
      <c r="G126" s="18" t="n"/>
    </row>
    <row r="127">
      <c r="G127" s="18" t="n"/>
    </row>
    <row r="128">
      <c r="G128" s="18" t="n"/>
    </row>
    <row r="129">
      <c r="G129" s="18" t="n"/>
    </row>
    <row r="130">
      <c r="G130" s="18" t="n"/>
    </row>
    <row r="131">
      <c r="G131" s="18" t="n"/>
    </row>
    <row r="132">
      <c r="G132" s="18" t="n"/>
    </row>
    <row r="133">
      <c r="G133" s="18" t="n"/>
    </row>
    <row r="134">
      <c r="G134" s="18" t="n"/>
    </row>
    <row r="135">
      <c r="G135" s="18" t="n"/>
    </row>
    <row r="136">
      <c r="G136" s="18" t="n"/>
    </row>
    <row r="137">
      <c r="G137" s="18" t="n"/>
    </row>
    <row r="138">
      <c r="G138" s="18" t="n"/>
    </row>
    <row r="139">
      <c r="G139" s="18" t="n"/>
    </row>
    <row r="140">
      <c r="G140" s="18" t="n"/>
    </row>
    <row r="141">
      <c r="G141" s="18" t="n"/>
    </row>
    <row r="142">
      <c r="G142" s="18" t="n"/>
    </row>
    <row r="143">
      <c r="G143" s="18" t="n"/>
    </row>
    <row r="144">
      <c r="G144" s="18" t="n"/>
    </row>
    <row r="145">
      <c r="G145" s="18" t="n"/>
    </row>
    <row r="146">
      <c r="G146" s="18" t="n"/>
    </row>
    <row r="147">
      <c r="G147" s="18" t="n"/>
    </row>
    <row r="148">
      <c r="G148" s="18" t="n"/>
    </row>
    <row r="149">
      <c r="G149" s="18" t="n"/>
    </row>
    <row r="150">
      <c r="G150" s="18" t="n"/>
    </row>
    <row r="151">
      <c r="G151" s="18" t="n"/>
    </row>
    <row r="152">
      <c r="G152" s="18" t="n"/>
    </row>
    <row r="153">
      <c r="G153" s="18" t="n"/>
    </row>
    <row r="154">
      <c r="G154" s="18" t="n"/>
    </row>
    <row r="155">
      <c r="G155" s="18" t="n"/>
    </row>
    <row r="156">
      <c r="G156" s="18" t="n"/>
    </row>
    <row r="157">
      <c r="G157" s="18" t="n"/>
    </row>
    <row r="158">
      <c r="G158" s="18" t="n"/>
    </row>
    <row r="159">
      <c r="G159" s="18" t="n"/>
    </row>
    <row r="160">
      <c r="G160" s="18" t="n"/>
    </row>
    <row r="161">
      <c r="G161" s="18" t="n"/>
    </row>
    <row r="162">
      <c r="G162" s="18" t="n"/>
    </row>
    <row r="163">
      <c r="G163" s="18" t="n"/>
    </row>
    <row r="164">
      <c r="G164" s="18" t="n"/>
    </row>
    <row r="165">
      <c r="G165" s="18" t="n"/>
    </row>
    <row r="166">
      <c r="G166" s="18" t="n"/>
    </row>
    <row r="167">
      <c r="G167" s="18" t="n"/>
    </row>
    <row r="168">
      <c r="G168" s="18" t="n"/>
    </row>
    <row r="169">
      <c r="G169" s="18" t="n"/>
    </row>
    <row r="170">
      <c r="G170" s="18" t="n"/>
    </row>
    <row r="171">
      <c r="G171" s="18" t="n"/>
    </row>
    <row r="172">
      <c r="G172" s="18" t="n"/>
    </row>
    <row r="173">
      <c r="G173" s="18" t="n"/>
    </row>
    <row r="174">
      <c r="G174" s="18" t="n"/>
    </row>
    <row r="175">
      <c r="G175" s="18" t="n"/>
    </row>
    <row r="176">
      <c r="G176" s="18" t="n"/>
    </row>
    <row r="177">
      <c r="G177" s="18" t="n"/>
    </row>
    <row r="178">
      <c r="G178" s="18" t="n"/>
    </row>
    <row r="179">
      <c r="G179" s="18" t="n"/>
    </row>
    <row r="180">
      <c r="G180" s="18" t="n"/>
    </row>
    <row r="181">
      <c r="G181" s="18" t="n"/>
    </row>
    <row r="182">
      <c r="G182" s="18" t="n"/>
    </row>
    <row r="183">
      <c r="G183" s="18" t="n"/>
    </row>
    <row r="184">
      <c r="G184" s="18" t="n"/>
    </row>
    <row r="185">
      <c r="G185" s="18" t="n"/>
    </row>
    <row r="186">
      <c r="G186" s="18" t="n"/>
    </row>
    <row r="187">
      <c r="G187" s="18" t="n"/>
    </row>
    <row r="188">
      <c r="G188" s="18" t="n"/>
    </row>
    <row r="189">
      <c r="G189" s="18" t="n"/>
    </row>
    <row r="190">
      <c r="G190" s="18" t="n"/>
    </row>
    <row r="191">
      <c r="G191" s="18" t="n"/>
    </row>
    <row r="192">
      <c r="G192" s="18" t="n"/>
    </row>
    <row r="193">
      <c r="G193" s="18" t="n"/>
    </row>
    <row r="194">
      <c r="G194" s="18" t="n"/>
    </row>
    <row r="195">
      <c r="G195" s="18" t="n"/>
    </row>
    <row r="196">
      <c r="G196" s="18" t="n"/>
    </row>
    <row r="197">
      <c r="G197" s="18" t="n"/>
    </row>
    <row r="198">
      <c r="G198" s="18" t="n"/>
    </row>
    <row r="199">
      <c r="G199" s="18" t="n"/>
    </row>
    <row r="200">
      <c r="G200" s="18" t="n"/>
    </row>
    <row r="201">
      <c r="G201" s="18" t="n"/>
    </row>
    <row r="202">
      <c r="G202" s="18" t="n"/>
    </row>
    <row r="203">
      <c r="G203" s="18" t="n"/>
    </row>
    <row r="204">
      <c r="G204" s="18" t="n"/>
    </row>
    <row r="205">
      <c r="G205" s="18" t="n"/>
    </row>
    <row r="206">
      <c r="G206" s="18" t="n"/>
    </row>
    <row r="207">
      <c r="G207" s="18" t="n"/>
    </row>
    <row r="208">
      <c r="G208" s="18" t="n"/>
    </row>
    <row r="209">
      <c r="G209" s="18" t="n"/>
    </row>
    <row r="210">
      <c r="G210" s="18" t="n"/>
    </row>
    <row r="211">
      <c r="G211" s="18" t="n"/>
    </row>
    <row r="212">
      <c r="G212" s="18" t="n"/>
    </row>
    <row r="213">
      <c r="G213" s="18" t="n"/>
    </row>
    <row r="214">
      <c r="G214" s="18" t="n"/>
    </row>
    <row r="215">
      <c r="G215" s="18" t="n"/>
    </row>
    <row r="216">
      <c r="G216" s="18" t="n"/>
    </row>
    <row r="217">
      <c r="G217" s="18" t="n"/>
    </row>
    <row r="218">
      <c r="G218" s="18" t="n"/>
    </row>
    <row r="219">
      <c r="G219" s="18" t="n"/>
    </row>
    <row r="220">
      <c r="G220" s="18" t="n"/>
    </row>
    <row r="221">
      <c r="G221" s="18" t="n"/>
    </row>
    <row r="222">
      <c r="G222" s="18" t="n"/>
    </row>
    <row r="223">
      <c r="G223" s="18" t="n"/>
    </row>
    <row r="224">
      <c r="G224" s="18" t="n"/>
    </row>
    <row r="225">
      <c r="G225" s="18" t="n"/>
    </row>
    <row r="226">
      <c r="G226" s="18" t="n"/>
    </row>
    <row r="227">
      <c r="G227" s="18" t="n"/>
    </row>
    <row r="228">
      <c r="G228" s="18" t="n"/>
    </row>
    <row r="229">
      <c r="G229" s="18" t="n"/>
    </row>
    <row r="230">
      <c r="G230" s="18" t="n"/>
    </row>
    <row r="231">
      <c r="G231" s="18" t="n"/>
    </row>
    <row r="232">
      <c r="G232" s="18" t="n"/>
    </row>
    <row r="233">
      <c r="G233" s="18" t="n"/>
    </row>
    <row r="234">
      <c r="G234" s="18" t="n"/>
    </row>
    <row r="235">
      <c r="G235" s="18" t="n"/>
    </row>
    <row r="236">
      <c r="G236" s="18" t="n"/>
    </row>
    <row r="237">
      <c r="G237" s="18" t="n"/>
    </row>
    <row r="238">
      <c r="G238" s="18" t="n"/>
    </row>
    <row r="239">
      <c r="G239" s="18" t="n"/>
    </row>
    <row r="240">
      <c r="G240" s="18" t="n"/>
    </row>
    <row r="241">
      <c r="G241" s="18" t="n"/>
    </row>
    <row r="242">
      <c r="G242" s="18" t="n"/>
    </row>
    <row r="243">
      <c r="G243" s="18" t="n"/>
    </row>
    <row r="244">
      <c r="G244" s="18" t="n"/>
    </row>
    <row r="245">
      <c r="G245" s="18" t="n"/>
    </row>
    <row r="246">
      <c r="G246" s="18" t="n"/>
    </row>
    <row r="247">
      <c r="G247" s="18" t="n"/>
    </row>
    <row r="248">
      <c r="G248" s="18" t="n"/>
    </row>
    <row r="249">
      <c r="G249" s="18" t="n"/>
    </row>
    <row r="250">
      <c r="G250" s="18" t="n"/>
    </row>
    <row r="251">
      <c r="G251" s="18" t="n"/>
    </row>
    <row r="252">
      <c r="G252" s="18" t="n"/>
    </row>
    <row r="253">
      <c r="G253" s="18" t="n"/>
    </row>
    <row r="254">
      <c r="G254" s="18" t="n"/>
    </row>
    <row r="255">
      <c r="G255" s="18" t="n"/>
    </row>
    <row r="256">
      <c r="G256" s="18" t="n"/>
    </row>
    <row r="257">
      <c r="G257" s="18" t="n"/>
    </row>
    <row r="258">
      <c r="G258" s="18" t="n"/>
    </row>
    <row r="259">
      <c r="G259" s="18" t="n"/>
    </row>
    <row r="260">
      <c r="G260" s="18" t="n"/>
    </row>
    <row r="261">
      <c r="G261" s="18" t="n"/>
    </row>
    <row r="262">
      <c r="G262" s="18" t="n"/>
    </row>
    <row r="263">
      <c r="G263" s="18" t="n"/>
    </row>
    <row r="264">
      <c r="G264" s="18" t="n"/>
    </row>
    <row r="265">
      <c r="G265" s="18" t="n"/>
    </row>
    <row r="266">
      <c r="G266" s="18" t="n"/>
    </row>
    <row r="267">
      <c r="G267" s="18" t="n"/>
    </row>
    <row r="268">
      <c r="G268" s="18" t="n"/>
    </row>
    <row r="269">
      <c r="G269" s="18" t="n"/>
    </row>
    <row r="270">
      <c r="G270" s="18" t="n"/>
    </row>
    <row r="271">
      <c r="G271" s="18" t="n"/>
    </row>
    <row r="272">
      <c r="G272" s="18" t="n"/>
    </row>
    <row r="273">
      <c r="G273" s="18" t="n"/>
    </row>
    <row r="274">
      <c r="G274" s="18" t="n"/>
    </row>
    <row r="275">
      <c r="G275" s="18" t="n"/>
    </row>
    <row r="276">
      <c r="G276" s="18" t="n"/>
    </row>
    <row r="277">
      <c r="G277" s="18" t="n"/>
    </row>
    <row r="278">
      <c r="G278" s="18" t="n"/>
    </row>
    <row r="279">
      <c r="G279" s="18" t="n"/>
    </row>
    <row r="280">
      <c r="G280" s="18" t="n"/>
    </row>
    <row r="281">
      <c r="G281" s="18" t="n"/>
    </row>
    <row r="282">
      <c r="G282" s="18" t="n"/>
    </row>
    <row r="283">
      <c r="G283" s="18" t="n"/>
    </row>
    <row r="284">
      <c r="G284" s="18" t="n"/>
    </row>
    <row r="285">
      <c r="G285" s="18" t="n"/>
    </row>
    <row r="286">
      <c r="G286" s="18" t="n"/>
    </row>
    <row r="287">
      <c r="G287" s="18" t="n"/>
    </row>
    <row r="288">
      <c r="G288" s="18" t="n"/>
    </row>
    <row r="289">
      <c r="G289" s="18" t="n"/>
    </row>
    <row r="290">
      <c r="G290" s="18" t="n"/>
    </row>
    <row r="291">
      <c r="G291" s="18" t="n"/>
    </row>
    <row r="292">
      <c r="G292" s="18" t="n"/>
    </row>
    <row r="293">
      <c r="G293" s="18" t="n"/>
    </row>
    <row r="294">
      <c r="G294" s="18" t="n"/>
    </row>
    <row r="295">
      <c r="G295" s="18" t="n"/>
    </row>
    <row r="296">
      <c r="G296" s="18" t="n"/>
    </row>
    <row r="297">
      <c r="G297" s="18" t="n"/>
    </row>
    <row r="298">
      <c r="G298" s="18" t="n"/>
    </row>
    <row r="299">
      <c r="G299" s="18" t="n"/>
    </row>
    <row r="300">
      <c r="G300" s="18" t="n"/>
    </row>
    <row r="301">
      <c r="G301" s="18" t="n"/>
    </row>
    <row r="302">
      <c r="G302" s="18" t="n"/>
    </row>
    <row r="303">
      <c r="G303" s="18" t="n"/>
    </row>
    <row r="304">
      <c r="G304" s="18" t="n"/>
    </row>
    <row r="305">
      <c r="G305" s="18" t="n"/>
    </row>
    <row r="306">
      <c r="G306" s="18" t="n"/>
    </row>
    <row r="307">
      <c r="G307" s="18" t="n"/>
    </row>
    <row r="308">
      <c r="G308" s="18" t="n"/>
    </row>
    <row r="309">
      <c r="G309" s="18" t="n"/>
    </row>
    <row r="310">
      <c r="G310" s="18" t="n"/>
    </row>
    <row r="311">
      <c r="G311" s="18" t="n"/>
    </row>
    <row r="312">
      <c r="G312" s="18" t="n"/>
    </row>
    <row r="313">
      <c r="G313" s="18" t="n"/>
    </row>
    <row r="314">
      <c r="G314" s="18" t="n"/>
    </row>
    <row r="315">
      <c r="G315" s="18" t="n"/>
    </row>
    <row r="316">
      <c r="G316" s="18" t="n"/>
    </row>
    <row r="317">
      <c r="G317" s="18" t="n"/>
    </row>
    <row r="318">
      <c r="G318" s="18" t="n"/>
    </row>
    <row r="319">
      <c r="G319" s="18" t="n"/>
    </row>
    <row r="320">
      <c r="G320" s="18" t="n"/>
    </row>
    <row r="321">
      <c r="G321" s="18" t="n"/>
    </row>
    <row r="322">
      <c r="G322" s="18" t="n"/>
    </row>
    <row r="323">
      <c r="G323" s="18" t="n"/>
    </row>
    <row r="324">
      <c r="G324" s="18" t="n"/>
    </row>
    <row r="325">
      <c r="G325" s="18" t="n"/>
    </row>
    <row r="326">
      <c r="G326" s="18" t="n"/>
    </row>
    <row r="327">
      <c r="G327" s="18" t="n"/>
    </row>
    <row r="328">
      <c r="G328" s="18" t="n"/>
    </row>
    <row r="329">
      <c r="G329" s="18" t="n"/>
    </row>
    <row r="330">
      <c r="G330" s="18" t="n"/>
    </row>
    <row r="331">
      <c r="G331" s="18" t="n"/>
    </row>
    <row r="332">
      <c r="G332" s="18" t="n"/>
    </row>
    <row r="333">
      <c r="G333" s="18" t="n"/>
    </row>
    <row r="334">
      <c r="G334" s="18" t="n"/>
    </row>
    <row r="335">
      <c r="G335" s="18" t="n"/>
    </row>
    <row r="336">
      <c r="G336" s="18" t="n"/>
    </row>
    <row r="337">
      <c r="G337" s="18" t="n"/>
    </row>
    <row r="338">
      <c r="G338" s="18" t="n"/>
    </row>
    <row r="339">
      <c r="G339" s="18" t="n"/>
    </row>
    <row r="340">
      <c r="G340" s="18" t="n"/>
    </row>
    <row r="341">
      <c r="G341" s="18" t="n"/>
    </row>
    <row r="342">
      <c r="G342" s="18" t="n"/>
    </row>
    <row r="343">
      <c r="G343" s="18" t="n"/>
    </row>
    <row r="344">
      <c r="G344" s="18" t="n"/>
    </row>
    <row r="345">
      <c r="G345" s="18" t="n"/>
    </row>
    <row r="346">
      <c r="G346" s="18" t="n"/>
    </row>
    <row r="347">
      <c r="G347" s="18" t="n"/>
    </row>
    <row r="348">
      <c r="G348" s="18" t="n"/>
    </row>
    <row r="349">
      <c r="G349" s="18" t="n"/>
    </row>
    <row r="350">
      <c r="G350" s="18" t="n"/>
    </row>
    <row r="351">
      <c r="G351" s="18" t="n"/>
    </row>
    <row r="352">
      <c r="G352" s="18" t="n"/>
    </row>
    <row r="353">
      <c r="G353" s="18" t="n"/>
    </row>
    <row r="354">
      <c r="G354" s="18" t="n"/>
    </row>
    <row r="355">
      <c r="G355" s="18" t="n"/>
    </row>
    <row r="356">
      <c r="G356" s="18" t="n"/>
    </row>
    <row r="357">
      <c r="G357" s="18" t="n"/>
    </row>
    <row r="358">
      <c r="G358" s="18" t="n"/>
    </row>
    <row r="359">
      <c r="G359" s="18" t="n"/>
    </row>
    <row r="360">
      <c r="G360" s="18" t="n"/>
    </row>
    <row r="361">
      <c r="G361" s="18" t="n"/>
    </row>
    <row r="362">
      <c r="G362" s="18" t="n"/>
    </row>
    <row r="363">
      <c r="G363" s="18" t="n"/>
    </row>
    <row r="364">
      <c r="G364" s="18" t="n"/>
    </row>
    <row r="365">
      <c r="G365" s="18" t="n"/>
    </row>
    <row r="366">
      <c r="G366" s="18" t="n"/>
    </row>
    <row r="367">
      <c r="G367" s="18" t="n"/>
    </row>
    <row r="368">
      <c r="G368" s="18" t="n"/>
    </row>
    <row r="369">
      <c r="G369" s="18" t="n"/>
    </row>
    <row r="370">
      <c r="G370" s="18" t="n"/>
    </row>
    <row r="371">
      <c r="G371" s="18" t="n"/>
    </row>
    <row r="372">
      <c r="G372" s="18" t="n"/>
    </row>
    <row r="373">
      <c r="G373" s="18" t="n"/>
    </row>
    <row r="374">
      <c r="G374" s="18" t="n"/>
    </row>
    <row r="375">
      <c r="G375" s="18" t="n"/>
    </row>
    <row r="376">
      <c r="G376" s="18" t="n"/>
    </row>
    <row r="377">
      <c r="G377" s="18" t="n"/>
    </row>
    <row r="378">
      <c r="G378" s="18" t="n"/>
    </row>
    <row r="379">
      <c r="G379" s="18" t="n"/>
    </row>
    <row r="380">
      <c r="G380" s="18" t="n"/>
    </row>
    <row r="381">
      <c r="G381" s="18" t="n"/>
    </row>
    <row r="382">
      <c r="G382" s="18" t="n"/>
    </row>
    <row r="383">
      <c r="G383" s="18" t="n"/>
    </row>
    <row r="384">
      <c r="G384" s="18" t="n"/>
    </row>
    <row r="385">
      <c r="G385" s="18" t="n"/>
    </row>
    <row r="386">
      <c r="G386" s="18" t="n"/>
    </row>
    <row r="387">
      <c r="G387" s="18" t="n"/>
    </row>
    <row r="388">
      <c r="G388" s="18" t="n"/>
    </row>
    <row r="389">
      <c r="G389" s="18" t="n"/>
    </row>
    <row r="390">
      <c r="G390" s="18" t="n"/>
    </row>
    <row r="391">
      <c r="G391" s="18" t="n"/>
    </row>
    <row r="392">
      <c r="G392" s="18" t="n"/>
    </row>
    <row r="393">
      <c r="G393" s="18" t="n"/>
    </row>
    <row r="394">
      <c r="G394" s="18" t="n"/>
    </row>
    <row r="395">
      <c r="G395" s="18" t="n"/>
    </row>
    <row r="396">
      <c r="G396" s="18" t="n"/>
    </row>
    <row r="397">
      <c r="G397" s="18" t="n"/>
    </row>
    <row r="398">
      <c r="G398" s="18" t="n"/>
    </row>
    <row r="399">
      <c r="G399" s="18" t="n"/>
    </row>
    <row r="400">
      <c r="G400" s="18" t="n"/>
    </row>
    <row r="401">
      <c r="G401" s="18" t="n"/>
    </row>
    <row r="402">
      <c r="G402" s="18" t="n"/>
    </row>
    <row r="403">
      <c r="G403" s="18" t="n"/>
    </row>
    <row r="404">
      <c r="G404" s="18" t="n"/>
    </row>
    <row r="405">
      <c r="G405" s="18" t="n"/>
    </row>
    <row r="406">
      <c r="G406" s="18" t="n"/>
    </row>
    <row r="407">
      <c r="G407" s="18" t="n"/>
    </row>
    <row r="408">
      <c r="G408" s="18" t="n"/>
    </row>
    <row r="409">
      <c r="G409" s="18" t="n"/>
    </row>
    <row r="410">
      <c r="G410" s="18" t="n"/>
    </row>
    <row r="411">
      <c r="G411" s="18" t="n"/>
    </row>
    <row r="412">
      <c r="G412" s="18" t="n"/>
    </row>
    <row r="413">
      <c r="G413" s="18" t="n"/>
    </row>
    <row r="414">
      <c r="G414" s="18" t="n"/>
    </row>
    <row r="415">
      <c r="G415" s="18" t="n"/>
    </row>
    <row r="416">
      <c r="G416" s="18" t="n"/>
    </row>
    <row r="417">
      <c r="G417" s="18" t="n"/>
    </row>
    <row r="418">
      <c r="G418" s="18" t="n"/>
    </row>
    <row r="419">
      <c r="G419" s="18" t="n"/>
    </row>
    <row r="420">
      <c r="G420" s="18" t="n"/>
    </row>
    <row r="421">
      <c r="G421" s="18" t="n"/>
    </row>
    <row r="422">
      <c r="G422" s="18" t="n"/>
    </row>
    <row r="423">
      <c r="G423" s="18" t="n"/>
    </row>
    <row r="424">
      <c r="G424" s="18" t="n"/>
    </row>
    <row r="425">
      <c r="G425" s="18" t="n"/>
    </row>
    <row r="426">
      <c r="G426" s="18" t="n"/>
    </row>
    <row r="427">
      <c r="G427" s="18" t="n"/>
    </row>
    <row r="428">
      <c r="G428" s="18" t="n"/>
    </row>
    <row r="429">
      <c r="G429" s="18" t="n"/>
    </row>
    <row r="430">
      <c r="G430" s="18" t="n"/>
    </row>
    <row r="431">
      <c r="G431" s="18" t="n"/>
    </row>
    <row r="432">
      <c r="G432" s="18" t="n"/>
    </row>
    <row r="433">
      <c r="G433" s="18" t="n"/>
    </row>
    <row r="434">
      <c r="G434" s="18" t="n"/>
    </row>
    <row r="435">
      <c r="G435" s="18" t="n"/>
    </row>
    <row r="436">
      <c r="G436" s="18" t="n"/>
    </row>
    <row r="437">
      <c r="G437" s="18" t="n"/>
    </row>
    <row r="438">
      <c r="G438" s="18" t="n"/>
    </row>
    <row r="439">
      <c r="G439" s="18" t="n"/>
    </row>
    <row r="440">
      <c r="G440" s="18" t="n"/>
    </row>
    <row r="441">
      <c r="G441" s="18" t="n"/>
    </row>
    <row r="442">
      <c r="G442" s="18" t="n"/>
    </row>
    <row r="443">
      <c r="G443" s="18" t="n"/>
    </row>
    <row r="444">
      <c r="G444" s="18" t="n"/>
    </row>
    <row r="445">
      <c r="G445" s="18" t="n"/>
    </row>
    <row r="446">
      <c r="G446" s="18" t="n"/>
    </row>
    <row r="447">
      <c r="G447" s="18" t="n"/>
    </row>
    <row r="448">
      <c r="G448" s="18" t="n"/>
    </row>
    <row r="449">
      <c r="G449" s="18" t="n"/>
    </row>
    <row r="450">
      <c r="G450" s="18" t="n"/>
    </row>
    <row r="451">
      <c r="G451" s="18" t="n"/>
    </row>
    <row r="452">
      <c r="G452" s="18" t="n"/>
    </row>
    <row r="453">
      <c r="G453" s="18" t="n"/>
    </row>
    <row r="454">
      <c r="G454" s="18" t="n"/>
    </row>
    <row r="455">
      <c r="G455" s="18" t="n"/>
    </row>
    <row r="456">
      <c r="G456" s="18" t="n"/>
    </row>
    <row r="457">
      <c r="G457" s="18" t="n"/>
    </row>
    <row r="458">
      <c r="G458" s="18" t="n"/>
    </row>
    <row r="459">
      <c r="G459" s="18" t="n"/>
    </row>
    <row r="460">
      <c r="G460" s="18" t="n"/>
    </row>
    <row r="461">
      <c r="G461" s="18" t="n"/>
    </row>
    <row r="462">
      <c r="G462" s="18" t="n"/>
    </row>
    <row r="463">
      <c r="G463" s="18" t="n"/>
    </row>
    <row r="464">
      <c r="G464" s="18" t="n"/>
    </row>
    <row r="465">
      <c r="G465" s="18" t="n"/>
    </row>
    <row r="466">
      <c r="G466" s="18" t="n"/>
    </row>
    <row r="467">
      <c r="G467" s="18" t="n"/>
    </row>
    <row r="468">
      <c r="G468" s="18" t="n"/>
    </row>
    <row r="469">
      <c r="G469" s="18" t="n"/>
    </row>
    <row r="470">
      <c r="G470" s="18" t="n"/>
    </row>
    <row r="471">
      <c r="G471" s="18" t="n"/>
    </row>
    <row r="472">
      <c r="G472" s="18" t="n"/>
    </row>
    <row r="473">
      <c r="G473" s="18" t="n"/>
    </row>
    <row r="474">
      <c r="G474" s="18" t="n"/>
    </row>
    <row r="475">
      <c r="G475" s="18" t="n"/>
    </row>
    <row r="476">
      <c r="G476" s="18" t="n"/>
    </row>
    <row r="477">
      <c r="G477" s="18" t="n"/>
    </row>
    <row r="478">
      <c r="G478" s="18" t="n"/>
    </row>
    <row r="479">
      <c r="G479" s="18" t="n"/>
    </row>
    <row r="480">
      <c r="G480" s="18" t="n"/>
    </row>
    <row r="481">
      <c r="G481" s="18" t="n"/>
    </row>
    <row r="482">
      <c r="G482" s="18" t="n"/>
    </row>
    <row r="483">
      <c r="G483" s="18" t="n"/>
    </row>
    <row r="484">
      <c r="G484" s="18" t="n"/>
    </row>
    <row r="485">
      <c r="G485" s="18" t="n"/>
    </row>
    <row r="486">
      <c r="G486" s="18" t="n"/>
    </row>
    <row r="487">
      <c r="G487" s="18" t="n"/>
    </row>
    <row r="488">
      <c r="G488" s="18" t="n"/>
    </row>
    <row r="489">
      <c r="G489" s="18" t="n"/>
    </row>
    <row r="490">
      <c r="G490" s="18" t="n"/>
    </row>
    <row r="491">
      <c r="G491" s="18" t="n"/>
    </row>
    <row r="492">
      <c r="G492" s="18" t="n"/>
    </row>
    <row r="493">
      <c r="G493" s="18" t="n"/>
    </row>
    <row r="494">
      <c r="G494" s="18" t="n"/>
    </row>
    <row r="495">
      <c r="G495" s="18" t="n"/>
    </row>
    <row r="496">
      <c r="G496" s="18" t="n"/>
    </row>
    <row r="497">
      <c r="G497" s="18" t="n"/>
    </row>
    <row r="498">
      <c r="G498" s="18" t="n"/>
    </row>
    <row r="499">
      <c r="G499" s="18" t="n"/>
    </row>
    <row r="500">
      <c r="G500" s="18" t="n"/>
    </row>
    <row r="501">
      <c r="G501" s="18" t="n"/>
    </row>
    <row r="502">
      <c r="G502" s="18" t="n"/>
    </row>
    <row r="503">
      <c r="G503" s="18" t="n"/>
    </row>
    <row r="504">
      <c r="G504" s="18" t="n"/>
    </row>
    <row r="505">
      <c r="G505" s="18" t="n"/>
    </row>
    <row r="506">
      <c r="G506" s="18" t="n"/>
    </row>
    <row r="507">
      <c r="G507" s="18" t="n"/>
    </row>
    <row r="508">
      <c r="G508" s="18" t="n"/>
    </row>
    <row r="509">
      <c r="G509" s="18" t="n"/>
    </row>
    <row r="510">
      <c r="G510" s="18" t="n"/>
    </row>
    <row r="511">
      <c r="G511" s="18" t="n"/>
    </row>
    <row r="512">
      <c r="G512" s="18" t="n"/>
    </row>
    <row r="513">
      <c r="G513" s="18" t="n"/>
    </row>
    <row r="514">
      <c r="G514" s="18" t="n"/>
    </row>
    <row r="515">
      <c r="G515" s="18" t="n"/>
    </row>
    <row r="516">
      <c r="G516" s="18" t="n"/>
    </row>
    <row r="517">
      <c r="G517" s="18" t="n"/>
    </row>
    <row r="518">
      <c r="G518" s="18" t="n"/>
    </row>
    <row r="519">
      <c r="G519" s="18" t="n"/>
    </row>
    <row r="520">
      <c r="G520" s="18" t="n"/>
    </row>
    <row r="521">
      <c r="G521" s="18" t="n"/>
    </row>
    <row r="522">
      <c r="G522" s="18" t="n"/>
    </row>
    <row r="523">
      <c r="G523" s="18" t="n"/>
    </row>
    <row r="524">
      <c r="G524" s="18" t="n"/>
    </row>
    <row r="525">
      <c r="G525" s="18" t="n"/>
    </row>
    <row r="526">
      <c r="G526" s="18" t="n"/>
    </row>
    <row r="527">
      <c r="G527" s="18" t="n"/>
    </row>
    <row r="528">
      <c r="G528" s="18" t="n"/>
    </row>
    <row r="529">
      <c r="G529" s="18" t="n"/>
    </row>
    <row r="530">
      <c r="G530" s="18" t="n"/>
    </row>
    <row r="531">
      <c r="G531" s="18" t="n"/>
    </row>
    <row r="532">
      <c r="G532" s="18" t="n"/>
    </row>
    <row r="533">
      <c r="G533" s="18" t="n"/>
    </row>
    <row r="534">
      <c r="G534" s="18" t="n"/>
    </row>
    <row r="535">
      <c r="G535" s="18" t="n"/>
    </row>
    <row r="536">
      <c r="G536" s="18" t="n"/>
    </row>
    <row r="537">
      <c r="G537" s="18" t="n"/>
    </row>
    <row r="538">
      <c r="G538" s="18" t="n"/>
    </row>
    <row r="539">
      <c r="G539" s="18" t="n"/>
    </row>
    <row r="540">
      <c r="G540" s="18" t="n"/>
    </row>
    <row r="541">
      <c r="G541" s="18" t="n"/>
    </row>
    <row r="542">
      <c r="G542" s="18" t="n"/>
    </row>
    <row r="543">
      <c r="G543" s="18" t="n"/>
    </row>
    <row r="544">
      <c r="G544" s="18" t="n"/>
    </row>
    <row r="545">
      <c r="G545" s="18" t="n"/>
    </row>
    <row r="546">
      <c r="G546" s="18" t="n"/>
    </row>
    <row r="547">
      <c r="G547" s="18" t="n"/>
    </row>
    <row r="548">
      <c r="G548" s="18" t="n"/>
    </row>
    <row r="549">
      <c r="G549" s="18" t="n"/>
    </row>
    <row r="550">
      <c r="G550" s="18" t="n"/>
    </row>
    <row r="551">
      <c r="G551" s="18" t="n"/>
    </row>
    <row r="552">
      <c r="G552" s="18" t="n"/>
    </row>
    <row r="553">
      <c r="G553" s="18" t="n"/>
    </row>
    <row r="554">
      <c r="G554" s="18" t="n"/>
    </row>
    <row r="555">
      <c r="G555" s="18" t="n"/>
    </row>
    <row r="556">
      <c r="G556" s="18" t="n"/>
    </row>
    <row r="557">
      <c r="G557" s="18" t="n"/>
    </row>
    <row r="558">
      <c r="G558" s="18" t="n"/>
    </row>
    <row r="559">
      <c r="G559" s="18" t="n"/>
    </row>
    <row r="560">
      <c r="G560" s="18" t="n"/>
    </row>
    <row r="561">
      <c r="G561" s="18" t="n"/>
    </row>
    <row r="562">
      <c r="G562" s="18" t="n"/>
    </row>
    <row r="563">
      <c r="G563" s="18" t="n"/>
    </row>
    <row r="564">
      <c r="G564" s="18" t="n"/>
    </row>
    <row r="565">
      <c r="G565" s="18" t="n"/>
    </row>
    <row r="566">
      <c r="G566" s="18" t="n"/>
    </row>
    <row r="567">
      <c r="G567" s="18" t="n"/>
    </row>
    <row r="568">
      <c r="G568" s="18" t="n"/>
    </row>
    <row r="569">
      <c r="G569" s="18" t="n"/>
    </row>
    <row r="570">
      <c r="G570" s="18" t="n"/>
    </row>
    <row r="571">
      <c r="G571" s="18" t="n"/>
    </row>
    <row r="572">
      <c r="G572" s="18" t="n"/>
    </row>
    <row r="573">
      <c r="G573" s="18" t="n"/>
    </row>
    <row r="574">
      <c r="G574" s="18" t="n"/>
    </row>
    <row r="575">
      <c r="G575" s="18" t="n"/>
    </row>
    <row r="576">
      <c r="G576" s="18" t="n"/>
    </row>
    <row r="577">
      <c r="G577" s="18" t="n"/>
    </row>
    <row r="578">
      <c r="G578" s="18" t="n"/>
    </row>
    <row r="579">
      <c r="G579" s="18" t="n"/>
    </row>
    <row r="580">
      <c r="G580" s="18" t="n"/>
    </row>
    <row r="581">
      <c r="G581" s="18" t="n"/>
    </row>
    <row r="582">
      <c r="G582" s="18" t="n"/>
    </row>
    <row r="583">
      <c r="G583" s="18" t="n"/>
    </row>
    <row r="584">
      <c r="G584" s="18" t="n"/>
    </row>
    <row r="585">
      <c r="G585" s="18" t="n"/>
    </row>
    <row r="586">
      <c r="G586" s="18" t="n"/>
    </row>
    <row r="587">
      <c r="G587" s="18" t="n"/>
    </row>
    <row r="588">
      <c r="G588" s="18" t="n"/>
    </row>
    <row r="589">
      <c r="G589" s="18" t="n"/>
    </row>
    <row r="590">
      <c r="G590" s="18" t="n"/>
    </row>
    <row r="591">
      <c r="G591" s="18" t="n"/>
    </row>
    <row r="592">
      <c r="G592" s="18" t="n"/>
    </row>
    <row r="593">
      <c r="G593" s="18" t="n"/>
    </row>
    <row r="594">
      <c r="G594" s="18" t="n"/>
    </row>
    <row r="595">
      <c r="G595" s="18" t="n"/>
    </row>
    <row r="596">
      <c r="G596" s="18" t="n"/>
    </row>
    <row r="597">
      <c r="G597" s="18" t="n"/>
    </row>
    <row r="598">
      <c r="G598" s="18" t="n"/>
    </row>
    <row r="599">
      <c r="G599" s="18" t="n"/>
    </row>
    <row r="600">
      <c r="G600" s="18" t="n"/>
    </row>
    <row r="601">
      <c r="G601" s="18" t="n"/>
    </row>
    <row r="602">
      <c r="G602" s="18" t="n"/>
    </row>
    <row r="603">
      <c r="G603" s="18" t="n"/>
    </row>
    <row r="604">
      <c r="G604" s="18" t="n"/>
    </row>
    <row r="605">
      <c r="G605" s="18" t="n"/>
    </row>
    <row r="606">
      <c r="G606" s="18" t="n"/>
    </row>
    <row r="607">
      <c r="G607" s="18" t="n"/>
    </row>
    <row r="608">
      <c r="G608" s="18" t="n"/>
    </row>
    <row r="609">
      <c r="G609" s="18" t="n"/>
    </row>
    <row r="610">
      <c r="G610" s="18" t="n"/>
    </row>
    <row r="611">
      <c r="G611" s="18" t="n"/>
    </row>
    <row r="612">
      <c r="G612" s="18" t="n"/>
    </row>
    <row r="613">
      <c r="G613" s="18" t="n"/>
    </row>
    <row r="614">
      <c r="G614" s="18" t="n"/>
    </row>
    <row r="615">
      <c r="G615" s="18" t="n"/>
    </row>
    <row r="616">
      <c r="G616" s="18" t="n"/>
    </row>
    <row r="617">
      <c r="G617" s="18" t="n"/>
    </row>
    <row r="618">
      <c r="G618" s="18" t="n"/>
    </row>
    <row r="619">
      <c r="G619" s="18" t="n"/>
    </row>
    <row r="620">
      <c r="G620" s="18" t="n"/>
    </row>
    <row r="621">
      <c r="G621" s="18" t="n"/>
    </row>
    <row r="622">
      <c r="G622" s="18" t="n"/>
    </row>
    <row r="623">
      <c r="G623" s="18" t="n"/>
    </row>
    <row r="624">
      <c r="G624" s="18" t="n"/>
    </row>
    <row r="625">
      <c r="G625" s="18" t="n"/>
    </row>
    <row r="626">
      <c r="G626" s="18" t="n"/>
    </row>
    <row r="627">
      <c r="G627" s="18" t="n"/>
    </row>
    <row r="628">
      <c r="G628" s="18" t="n"/>
    </row>
    <row r="629">
      <c r="G629" s="18" t="n"/>
    </row>
    <row r="630">
      <c r="G630" s="18" t="n"/>
    </row>
    <row r="631">
      <c r="G631" s="18" t="n"/>
    </row>
    <row r="632">
      <c r="G632" s="18" t="n"/>
    </row>
    <row r="633">
      <c r="G633" s="18" t="n"/>
    </row>
    <row r="634">
      <c r="G634" s="18" t="n"/>
    </row>
    <row r="635">
      <c r="G635" s="18" t="n"/>
    </row>
    <row r="636">
      <c r="G636" s="18" t="n"/>
    </row>
    <row r="637">
      <c r="G637" s="18" t="n"/>
    </row>
    <row r="638">
      <c r="G638" s="18" t="n"/>
    </row>
    <row r="639">
      <c r="G639" s="18" t="n"/>
    </row>
    <row r="640">
      <c r="G640" s="18" t="n"/>
    </row>
    <row r="641">
      <c r="G641" s="18" t="n"/>
    </row>
    <row r="642">
      <c r="G642" s="18" t="n"/>
    </row>
    <row r="643">
      <c r="G643" s="18" t="n"/>
    </row>
    <row r="644">
      <c r="G644" s="18" t="n"/>
    </row>
    <row r="645">
      <c r="G645" s="18" t="n"/>
    </row>
    <row r="646">
      <c r="G646" s="18" t="n"/>
    </row>
    <row r="647">
      <c r="G647" s="18" t="n"/>
    </row>
    <row r="648">
      <c r="G648" s="18" t="n"/>
    </row>
    <row r="649">
      <c r="G649" s="18" t="n"/>
    </row>
    <row r="650">
      <c r="G650" s="18" t="n"/>
    </row>
    <row r="651">
      <c r="G651" s="18" t="n"/>
    </row>
    <row r="652">
      <c r="G652" s="18" t="n"/>
    </row>
    <row r="653">
      <c r="G653" s="18" t="n"/>
    </row>
    <row r="654">
      <c r="G654" s="18" t="n"/>
    </row>
    <row r="655">
      <c r="G655" s="18" t="n"/>
    </row>
    <row r="656">
      <c r="G656" s="18" t="n"/>
    </row>
    <row r="657">
      <c r="G657" s="18" t="n"/>
    </row>
    <row r="658">
      <c r="G658" s="18" t="n"/>
    </row>
    <row r="659">
      <c r="G659" s="18" t="n"/>
    </row>
    <row r="660">
      <c r="G660" s="18" t="n"/>
    </row>
    <row r="661">
      <c r="G661" s="18" t="n"/>
    </row>
    <row r="662">
      <c r="G662" s="18" t="n"/>
    </row>
    <row r="663">
      <c r="G663" s="18" t="n"/>
    </row>
    <row r="664">
      <c r="G664" s="18" t="n"/>
    </row>
    <row r="665">
      <c r="G665" s="18" t="n"/>
    </row>
    <row r="666">
      <c r="G666" s="18" t="n"/>
    </row>
    <row r="667">
      <c r="G667" s="18" t="n"/>
    </row>
    <row r="668">
      <c r="G668" s="18" t="n"/>
    </row>
    <row r="669">
      <c r="G669" s="18" t="n"/>
    </row>
    <row r="670">
      <c r="G670" s="18" t="n"/>
    </row>
    <row r="671">
      <c r="G671" s="18" t="n"/>
    </row>
    <row r="672">
      <c r="G672" s="18" t="n"/>
    </row>
    <row r="673">
      <c r="G673" s="18" t="n"/>
    </row>
    <row r="674">
      <c r="G674" s="18" t="n"/>
    </row>
    <row r="675">
      <c r="G675" s="18" t="n"/>
    </row>
    <row r="676">
      <c r="G676" s="18" t="n"/>
    </row>
    <row r="677">
      <c r="G677" s="18" t="n"/>
    </row>
    <row r="678">
      <c r="G678" s="18" t="n"/>
    </row>
    <row r="679">
      <c r="G679" s="18" t="n"/>
    </row>
    <row r="680">
      <c r="G680" s="18" t="n"/>
    </row>
    <row r="681">
      <c r="G681" s="18" t="n"/>
    </row>
    <row r="682">
      <c r="G682" s="18" t="n"/>
    </row>
    <row r="683">
      <c r="G683" s="18" t="n"/>
    </row>
    <row r="684">
      <c r="G684" s="18" t="n"/>
    </row>
    <row r="685">
      <c r="G685" s="18" t="n"/>
    </row>
    <row r="686">
      <c r="G686" s="18" t="n"/>
    </row>
    <row r="687">
      <c r="G687" s="18" t="n"/>
    </row>
    <row r="688">
      <c r="G688" s="18" t="n"/>
    </row>
    <row r="689">
      <c r="G689" s="18" t="n"/>
    </row>
    <row r="690">
      <c r="G690" s="18" t="n"/>
    </row>
    <row r="691">
      <c r="G691" s="18" t="n"/>
    </row>
    <row r="692">
      <c r="G692" s="18" t="n"/>
    </row>
    <row r="693">
      <c r="G693" s="18" t="n"/>
    </row>
    <row r="694">
      <c r="G694" s="18" t="n"/>
    </row>
    <row r="695">
      <c r="G695" s="18" t="n"/>
    </row>
    <row r="696">
      <c r="G696" s="18" t="n"/>
    </row>
    <row r="697">
      <c r="G697" s="18" t="n"/>
    </row>
    <row r="698">
      <c r="G698" s="18" t="n"/>
    </row>
    <row r="699">
      <c r="G699" s="18" t="n"/>
    </row>
    <row r="700">
      <c r="G700" s="18" t="n"/>
    </row>
    <row r="701">
      <c r="G701" s="18" t="n"/>
    </row>
    <row r="702">
      <c r="G702" s="18" t="n"/>
    </row>
    <row r="703">
      <c r="G703" s="18" t="n"/>
    </row>
    <row r="704">
      <c r="G704" s="18" t="n"/>
    </row>
    <row r="705">
      <c r="G705" s="18" t="n"/>
    </row>
    <row r="706">
      <c r="G706" s="18" t="n"/>
    </row>
    <row r="707">
      <c r="G707" s="18" t="n"/>
    </row>
    <row r="708">
      <c r="G708" s="18" t="n"/>
    </row>
    <row r="709">
      <c r="G709" s="18" t="n"/>
    </row>
    <row r="710">
      <c r="G710" s="18" t="n"/>
    </row>
    <row r="711">
      <c r="G711" s="18" t="n"/>
    </row>
    <row r="712">
      <c r="G712" s="18" t="n"/>
    </row>
    <row r="713">
      <c r="G713" s="18" t="n"/>
    </row>
    <row r="714">
      <c r="G714" s="18" t="n"/>
    </row>
    <row r="715">
      <c r="G715" s="18" t="n"/>
    </row>
    <row r="716">
      <c r="G716" s="18" t="n"/>
    </row>
    <row r="717">
      <c r="G717" s="18" t="n"/>
    </row>
    <row r="718">
      <c r="G718" s="18" t="n"/>
    </row>
    <row r="719">
      <c r="G719" s="18" t="n"/>
    </row>
    <row r="720">
      <c r="G720" s="18" t="n"/>
    </row>
    <row r="721">
      <c r="G721" s="18" t="n"/>
    </row>
    <row r="722">
      <c r="G722" s="18" t="n"/>
    </row>
    <row r="723">
      <c r="G723" s="18" t="n"/>
    </row>
    <row r="724">
      <c r="G724" s="18" t="n"/>
    </row>
    <row r="725">
      <c r="G725" s="18" t="n"/>
    </row>
    <row r="726">
      <c r="G726" s="18" t="n"/>
    </row>
    <row r="727">
      <c r="G727" s="18" t="n"/>
    </row>
    <row r="728">
      <c r="G728" s="18" t="n"/>
    </row>
    <row r="729">
      <c r="G729" s="18" t="n"/>
    </row>
    <row r="730">
      <c r="G730" s="18" t="n"/>
    </row>
    <row r="731">
      <c r="G731" s="18" t="n"/>
    </row>
    <row r="732">
      <c r="G732" s="18" t="n"/>
    </row>
    <row r="733">
      <c r="G733" s="18" t="n"/>
    </row>
    <row r="734">
      <c r="G734" s="18" t="n"/>
    </row>
    <row r="735">
      <c r="G735" s="18" t="n"/>
    </row>
    <row r="736">
      <c r="G736" s="18" t="n"/>
    </row>
    <row r="737">
      <c r="G737" s="18" t="n"/>
    </row>
    <row r="738">
      <c r="G738" s="18" t="n"/>
    </row>
    <row r="739">
      <c r="G739" s="18" t="n"/>
    </row>
    <row r="740">
      <c r="G740" s="18" t="n"/>
    </row>
    <row r="741">
      <c r="G741" s="18" t="n"/>
    </row>
    <row r="742">
      <c r="G742" s="18" t="n"/>
    </row>
    <row r="743">
      <c r="G743" s="18" t="n"/>
    </row>
    <row r="744">
      <c r="G744" s="18" t="n"/>
    </row>
    <row r="745">
      <c r="G745" s="18" t="n"/>
    </row>
    <row r="746">
      <c r="G746" s="18" t="n"/>
    </row>
    <row r="747">
      <c r="G747" s="18" t="n"/>
    </row>
    <row r="748">
      <c r="G748" s="18" t="n"/>
    </row>
    <row r="749">
      <c r="G749" s="18" t="n"/>
    </row>
    <row r="750">
      <c r="G750" s="18" t="n"/>
    </row>
    <row r="751">
      <c r="G751" s="18" t="n"/>
    </row>
    <row r="752">
      <c r="G752" s="18" t="n"/>
    </row>
    <row r="753">
      <c r="G753" s="18" t="n"/>
    </row>
    <row r="754">
      <c r="G754" s="18" t="n"/>
    </row>
    <row r="755">
      <c r="G755" s="18" t="n"/>
    </row>
    <row r="756">
      <c r="G756" s="18" t="n"/>
    </row>
    <row r="757">
      <c r="G757" s="18" t="n"/>
    </row>
    <row r="758">
      <c r="G758" s="18" t="n"/>
    </row>
    <row r="759">
      <c r="G759" s="18" t="n"/>
    </row>
    <row r="760">
      <c r="G760" s="18" t="n"/>
    </row>
    <row r="761">
      <c r="G761" s="18" t="n"/>
    </row>
    <row r="762">
      <c r="G762" s="18" t="n"/>
    </row>
    <row r="763">
      <c r="G763" s="18" t="n"/>
    </row>
    <row r="764">
      <c r="G764" s="18" t="n"/>
    </row>
    <row r="765">
      <c r="G765" s="18" t="n"/>
    </row>
    <row r="766">
      <c r="G766" s="18" t="n"/>
    </row>
    <row r="767">
      <c r="G767" s="18" t="n"/>
    </row>
    <row r="768">
      <c r="G768" s="18" t="n"/>
    </row>
    <row r="769">
      <c r="G769" s="18" t="n"/>
    </row>
    <row r="770">
      <c r="G770" s="18" t="n"/>
    </row>
    <row r="771">
      <c r="G771" s="18" t="n"/>
    </row>
    <row r="772">
      <c r="G772" s="18" t="n"/>
    </row>
    <row r="773">
      <c r="G773" s="18" t="n"/>
    </row>
    <row r="774">
      <c r="G774" s="18" t="n"/>
    </row>
    <row r="775">
      <c r="G775" s="18" t="n"/>
    </row>
    <row r="776">
      <c r="G776" s="18" t="n"/>
    </row>
    <row r="777">
      <c r="G777" s="18" t="n"/>
    </row>
    <row r="778">
      <c r="G778" s="18" t="n"/>
    </row>
    <row r="779">
      <c r="G779" s="18" t="n"/>
    </row>
    <row r="780">
      <c r="G780" s="18" t="n"/>
    </row>
    <row r="781">
      <c r="G781" s="18" t="n"/>
    </row>
    <row r="782">
      <c r="G782" s="18" t="n"/>
    </row>
    <row r="783">
      <c r="G783" s="18" t="n"/>
    </row>
    <row r="784">
      <c r="G784" s="18" t="n"/>
    </row>
    <row r="785">
      <c r="G785" s="18" t="n"/>
    </row>
    <row r="786">
      <c r="G786" s="18" t="n"/>
    </row>
    <row r="787">
      <c r="G787" s="18" t="n"/>
    </row>
    <row r="788">
      <c r="G788" s="18" t="n"/>
    </row>
    <row r="789">
      <c r="G789" s="18" t="n"/>
    </row>
    <row r="790">
      <c r="G790" s="18" t="n"/>
    </row>
    <row r="791">
      <c r="G791" s="18" t="n"/>
    </row>
    <row r="792">
      <c r="G792" s="18" t="n"/>
    </row>
    <row r="793">
      <c r="G793" s="18" t="n"/>
    </row>
    <row r="794">
      <c r="G794" s="18" t="n"/>
    </row>
    <row r="795">
      <c r="G795" s="18" t="n"/>
    </row>
    <row r="796">
      <c r="G796" s="18" t="n"/>
    </row>
    <row r="797">
      <c r="G797" s="18" t="n"/>
    </row>
    <row r="798">
      <c r="G798" s="18" t="n"/>
    </row>
    <row r="799">
      <c r="G799" s="18" t="n"/>
    </row>
    <row r="800">
      <c r="G800" s="18" t="n"/>
    </row>
    <row r="801">
      <c r="G801" s="18" t="n"/>
    </row>
    <row r="802">
      <c r="G802" s="18" t="n"/>
    </row>
    <row r="803">
      <c r="G803" s="18" t="n"/>
    </row>
    <row r="804">
      <c r="G804" s="18" t="n"/>
    </row>
    <row r="805">
      <c r="G805" s="18" t="n"/>
    </row>
    <row r="806">
      <c r="G806" s="18" t="n"/>
    </row>
    <row r="807">
      <c r="G807" s="18" t="n"/>
    </row>
    <row r="808">
      <c r="G808" s="18" t="n"/>
    </row>
    <row r="809">
      <c r="G809" s="18" t="n"/>
    </row>
    <row r="810">
      <c r="G810" s="18" t="n"/>
    </row>
    <row r="811">
      <c r="G811" s="18" t="n"/>
    </row>
    <row r="812">
      <c r="G812" s="18" t="n"/>
    </row>
    <row r="813">
      <c r="G813" s="18" t="n"/>
    </row>
    <row r="814">
      <c r="G814" s="18" t="n"/>
    </row>
    <row r="815">
      <c r="G815" s="18" t="n"/>
    </row>
    <row r="816">
      <c r="G816" s="18" t="n"/>
    </row>
    <row r="817">
      <c r="G817" s="18" t="n"/>
    </row>
    <row r="818">
      <c r="G818" s="18" t="n"/>
    </row>
    <row r="819">
      <c r="G819" s="18" t="n"/>
    </row>
    <row r="820">
      <c r="G820" s="18" t="n"/>
    </row>
    <row r="821">
      <c r="G821" s="18" t="n"/>
    </row>
    <row r="822">
      <c r="G822" s="18" t="n"/>
    </row>
    <row r="823">
      <c r="G823" s="18" t="n"/>
    </row>
    <row r="824">
      <c r="G824" s="18" t="n"/>
    </row>
    <row r="825">
      <c r="G825" s="18" t="n"/>
    </row>
    <row r="826">
      <c r="G826" s="18" t="n"/>
    </row>
    <row r="827">
      <c r="G827" s="18" t="n"/>
    </row>
    <row r="828">
      <c r="G828" s="18" t="n"/>
    </row>
    <row r="829">
      <c r="G829" s="18" t="n"/>
    </row>
    <row r="830">
      <c r="G830" s="18" t="n"/>
    </row>
    <row r="831">
      <c r="G831" s="18" t="n"/>
    </row>
    <row r="832">
      <c r="G832" s="18" t="n"/>
    </row>
    <row r="833">
      <c r="G833" s="18" t="n"/>
    </row>
    <row r="834">
      <c r="G834" s="18" t="n"/>
    </row>
    <row r="835">
      <c r="G835" s="18" t="n"/>
    </row>
    <row r="836">
      <c r="G836" s="18" t="n"/>
    </row>
    <row r="837">
      <c r="G837" s="18" t="n"/>
    </row>
    <row r="838">
      <c r="G838" s="18" t="n"/>
    </row>
    <row r="839">
      <c r="G839" s="18" t="n"/>
    </row>
    <row r="840">
      <c r="G840" s="18" t="n"/>
    </row>
    <row r="841">
      <c r="G841" s="18" t="n"/>
    </row>
    <row r="842">
      <c r="G842" s="18" t="n"/>
    </row>
    <row r="843">
      <c r="G843" s="18" t="n"/>
    </row>
    <row r="844">
      <c r="G844" s="18" t="n"/>
    </row>
    <row r="845">
      <c r="G845" s="18" t="n"/>
    </row>
    <row r="846">
      <c r="G846" s="18" t="n"/>
    </row>
    <row r="847">
      <c r="G847" s="18" t="n"/>
    </row>
    <row r="848">
      <c r="G848" s="18" t="n"/>
    </row>
    <row r="849">
      <c r="G849" s="18" t="n"/>
    </row>
    <row r="850">
      <c r="G850" s="18" t="n"/>
    </row>
    <row r="851">
      <c r="G851" s="18" t="n"/>
    </row>
    <row r="852">
      <c r="G852" s="18" t="n"/>
    </row>
    <row r="853">
      <c r="G853" s="18" t="n"/>
    </row>
    <row r="854">
      <c r="G854" s="18" t="n"/>
    </row>
    <row r="855">
      <c r="G855" s="18" t="n"/>
    </row>
    <row r="856">
      <c r="G856" s="18" t="n"/>
    </row>
    <row r="857">
      <c r="G857" s="18" t="n"/>
    </row>
    <row r="858">
      <c r="G858" s="18" t="n"/>
    </row>
    <row r="859">
      <c r="G859" s="18" t="n"/>
    </row>
    <row r="860">
      <c r="G860" s="18" t="n"/>
    </row>
    <row r="861">
      <c r="G861" s="18" t="n"/>
    </row>
    <row r="862">
      <c r="G862" s="18" t="n"/>
    </row>
    <row r="863">
      <c r="G863" s="18" t="n"/>
    </row>
    <row r="864">
      <c r="G864" s="18" t="n"/>
    </row>
    <row r="865">
      <c r="G865" s="18" t="n"/>
    </row>
    <row r="866">
      <c r="G866" s="18" t="n"/>
    </row>
    <row r="867">
      <c r="G867" s="18" t="n"/>
    </row>
    <row r="868">
      <c r="G868" s="18" t="n"/>
    </row>
    <row r="869">
      <c r="G869" s="18" t="n"/>
    </row>
    <row r="870">
      <c r="G870" s="18" t="n"/>
    </row>
    <row r="871">
      <c r="G871" s="18" t="n"/>
    </row>
    <row r="872">
      <c r="G872" s="18" t="n"/>
    </row>
    <row r="873">
      <c r="G873" s="18" t="n"/>
    </row>
    <row r="874">
      <c r="G874" s="18" t="n"/>
    </row>
    <row r="875">
      <c r="G875" s="18" t="n"/>
    </row>
    <row r="876">
      <c r="G876" s="18" t="n"/>
    </row>
    <row r="877">
      <c r="G877" s="18" t="n"/>
    </row>
    <row r="878">
      <c r="G878" s="18" t="n"/>
    </row>
    <row r="879">
      <c r="G879" s="18" t="n"/>
    </row>
    <row r="880">
      <c r="G880" s="18" t="n"/>
    </row>
    <row r="881">
      <c r="G881" s="18" t="n"/>
    </row>
    <row r="882">
      <c r="G882" s="18" t="n"/>
    </row>
    <row r="883">
      <c r="G883" s="18" t="n"/>
    </row>
    <row r="884">
      <c r="G884" s="18" t="n"/>
    </row>
    <row r="885">
      <c r="G885" s="18" t="n"/>
    </row>
    <row r="886">
      <c r="G886" s="18" t="n"/>
    </row>
    <row r="887">
      <c r="G887" s="18" t="n"/>
    </row>
    <row r="888">
      <c r="G888" s="18" t="n"/>
    </row>
    <row r="889">
      <c r="G889" s="18" t="n"/>
    </row>
    <row r="890">
      <c r="G890" s="18" t="n"/>
    </row>
    <row r="891">
      <c r="G891" s="18" t="n"/>
    </row>
    <row r="892">
      <c r="G892" s="18" t="n"/>
    </row>
    <row r="893">
      <c r="G893" s="18" t="n"/>
    </row>
    <row r="894">
      <c r="G894" s="18" t="n"/>
    </row>
    <row r="895">
      <c r="G895" s="18" t="n"/>
    </row>
    <row r="896">
      <c r="G896" s="18" t="n"/>
    </row>
    <row r="897">
      <c r="G897" s="18" t="n"/>
    </row>
    <row r="898">
      <c r="G898" s="18" t="n"/>
    </row>
    <row r="899">
      <c r="G899" s="18" t="n"/>
    </row>
    <row r="900">
      <c r="G900" s="18" t="n"/>
    </row>
    <row r="901">
      <c r="G901" s="18" t="n"/>
    </row>
    <row r="902">
      <c r="G902" s="18" t="n"/>
    </row>
    <row r="903">
      <c r="G903" s="18" t="n"/>
    </row>
    <row r="904">
      <c r="G904" s="18" t="n"/>
    </row>
    <row r="905">
      <c r="G905" s="18" t="n"/>
    </row>
    <row r="906">
      <c r="G906" s="18" t="n"/>
    </row>
    <row r="907">
      <c r="G907" s="18" t="n"/>
    </row>
    <row r="908">
      <c r="G908" s="18" t="n"/>
    </row>
    <row r="909">
      <c r="G909" s="18" t="n"/>
    </row>
    <row r="910">
      <c r="G910" s="18" t="n"/>
    </row>
    <row r="911">
      <c r="G911" s="18" t="n"/>
    </row>
    <row r="912">
      <c r="G912" s="18" t="n"/>
    </row>
    <row r="913">
      <c r="G913" s="18" t="n"/>
    </row>
    <row r="914">
      <c r="G914" s="18" t="n"/>
    </row>
    <row r="915">
      <c r="G915" s="18" t="n"/>
    </row>
    <row r="916">
      <c r="G916" s="18" t="n"/>
    </row>
    <row r="917">
      <c r="G917" s="18" t="n"/>
    </row>
    <row r="918">
      <c r="G918" s="18" t="n"/>
    </row>
    <row r="919">
      <c r="G919" s="18" t="n"/>
    </row>
    <row r="920">
      <c r="G920" s="18" t="n"/>
    </row>
    <row r="921">
      <c r="G921" s="18" t="n"/>
    </row>
    <row r="922">
      <c r="G922" s="18" t="n"/>
    </row>
    <row r="923">
      <c r="G923" s="18" t="n"/>
    </row>
    <row r="924">
      <c r="G924" s="18" t="n"/>
    </row>
    <row r="925">
      <c r="G925" s="18" t="n"/>
    </row>
    <row r="926">
      <c r="G926" s="18" t="n"/>
    </row>
    <row r="927">
      <c r="G927" s="18" t="n"/>
    </row>
    <row r="928">
      <c r="G928" s="18" t="n"/>
    </row>
    <row r="929">
      <c r="G929" s="18" t="n"/>
    </row>
    <row r="930">
      <c r="G930" s="18" t="n"/>
    </row>
    <row r="931">
      <c r="G931" s="18" t="n"/>
    </row>
    <row r="932">
      <c r="G932" s="18" t="n"/>
    </row>
    <row r="933">
      <c r="G933" s="18" t="n"/>
    </row>
    <row r="934">
      <c r="G934" s="18" t="n"/>
    </row>
    <row r="935">
      <c r="G935" s="18" t="n"/>
    </row>
    <row r="936">
      <c r="G936" s="18" t="n"/>
    </row>
    <row r="937">
      <c r="G937" s="18" t="n"/>
    </row>
    <row r="938">
      <c r="G938" s="18" t="n"/>
    </row>
    <row r="939">
      <c r="G939" s="18" t="n"/>
    </row>
    <row r="940">
      <c r="G940" s="18" t="n"/>
    </row>
    <row r="941">
      <c r="G941" s="18" t="n"/>
    </row>
    <row r="942">
      <c r="G942" s="18" t="n"/>
    </row>
    <row r="943">
      <c r="G943" s="18" t="n"/>
    </row>
    <row r="944">
      <c r="G944" s="18" t="n"/>
    </row>
    <row r="945">
      <c r="G945" s="18" t="n"/>
    </row>
    <row r="946">
      <c r="G946" s="18" t="n"/>
    </row>
    <row r="947">
      <c r="G947" s="18" t="n"/>
    </row>
    <row r="948">
      <c r="G948" s="18" t="n"/>
    </row>
    <row r="949">
      <c r="G949" s="18" t="n"/>
    </row>
    <row r="950">
      <c r="G950" s="18" t="n"/>
    </row>
    <row r="951">
      <c r="G951" s="18" t="n"/>
    </row>
    <row r="952">
      <c r="G952" s="18" t="n"/>
    </row>
    <row r="953">
      <c r="G953" s="18" t="n"/>
    </row>
    <row r="954">
      <c r="G954" s="18" t="n"/>
    </row>
    <row r="955">
      <c r="G955" s="18" t="n"/>
    </row>
    <row r="956">
      <c r="G956" s="18" t="n"/>
    </row>
    <row r="957">
      <c r="G957" s="18" t="n"/>
    </row>
    <row r="958">
      <c r="G958" s="18" t="n"/>
    </row>
    <row r="959">
      <c r="G959" s="18" t="n"/>
    </row>
    <row r="960">
      <c r="G960" s="18" t="n"/>
    </row>
    <row r="961">
      <c r="G961" s="18" t="n"/>
    </row>
    <row r="962">
      <c r="G962" s="18" t="n"/>
    </row>
    <row r="963">
      <c r="G963" s="18" t="n"/>
    </row>
    <row r="964">
      <c r="G964" s="18" t="n"/>
    </row>
    <row r="965">
      <c r="G965" s="18" t="n"/>
    </row>
    <row r="966">
      <c r="G966" s="18" t="n"/>
    </row>
    <row r="967">
      <c r="G967" s="18" t="n"/>
    </row>
    <row r="968">
      <c r="G968" s="18" t="n"/>
    </row>
    <row r="969">
      <c r="G969" s="18" t="n"/>
    </row>
    <row r="970">
      <c r="G970" s="18" t="n"/>
    </row>
    <row r="971">
      <c r="G971" s="18" t="n"/>
    </row>
    <row r="972">
      <c r="G972" s="18" t="n"/>
    </row>
    <row r="973">
      <c r="G973" s="18" t="n"/>
    </row>
    <row r="974">
      <c r="G974" s="18" t="n"/>
    </row>
    <row r="975">
      <c r="G975" s="18" t="n"/>
    </row>
    <row r="976">
      <c r="G976" s="18" t="n"/>
    </row>
    <row r="977">
      <c r="G977" s="18" t="n"/>
    </row>
    <row r="978">
      <c r="G978" s="18" t="n"/>
    </row>
    <row r="979">
      <c r="G979" s="18" t="n"/>
    </row>
    <row r="980">
      <c r="G980" s="18" t="n"/>
    </row>
    <row r="981">
      <c r="G981" s="18" t="n"/>
    </row>
    <row r="982">
      <c r="G982" s="18" t="n"/>
    </row>
    <row r="983">
      <c r="G983" s="18" t="n"/>
    </row>
    <row r="984">
      <c r="G984" s="18" t="n"/>
    </row>
    <row r="985">
      <c r="G985" s="18" t="n"/>
    </row>
    <row r="986">
      <c r="G986" s="18" t="n"/>
    </row>
    <row r="987">
      <c r="G987" s="18" t="n"/>
    </row>
    <row r="988">
      <c r="G988" s="18" t="n"/>
    </row>
    <row r="989">
      <c r="G989" s="18" t="n"/>
    </row>
    <row r="990">
      <c r="G990" s="18" t="n"/>
    </row>
    <row r="991">
      <c r="G991" s="18" t="n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B12" r:id="rId7"/>
    <hyperlink xmlns:r="http://schemas.openxmlformats.org/officeDocument/2006/relationships" ref="J24" r:id="rId8"/>
    <hyperlink xmlns:r="http://schemas.openxmlformats.org/officeDocument/2006/relationships" ref="J25" r:id="rId9"/>
    <hyperlink xmlns:r="http://schemas.openxmlformats.org/officeDocument/2006/relationships" ref="J26" r:id="rId10"/>
    <hyperlink xmlns:r="http://schemas.openxmlformats.org/officeDocument/2006/relationships" ref="J27" r:id="rId11"/>
    <hyperlink xmlns:r="http://schemas.openxmlformats.org/officeDocument/2006/relationships" ref="J28" r:id="rId12"/>
    <hyperlink xmlns:r="http://schemas.openxmlformats.org/officeDocument/2006/relationships" ref="J36" r:id="rId13"/>
    <hyperlink xmlns:r="http://schemas.openxmlformats.org/officeDocument/2006/relationships" ref="J37" r:id="rId14"/>
    <hyperlink xmlns:r="http://schemas.openxmlformats.org/officeDocument/2006/relationships" ref="J38" r:id="rId15"/>
    <hyperlink xmlns:r="http://schemas.openxmlformats.org/officeDocument/2006/relationships" ref="J39" r:id="rId16"/>
    <hyperlink xmlns:r="http://schemas.openxmlformats.org/officeDocument/2006/relationships" ref="J40" r:id="rId17"/>
    <hyperlink xmlns:r="http://schemas.openxmlformats.org/officeDocument/2006/relationships" ref="J41" r:id="rId18"/>
    <hyperlink xmlns:r="http://schemas.openxmlformats.org/officeDocument/2006/relationships" ref="J42" r:id="rId19"/>
    <hyperlink xmlns:r="http://schemas.openxmlformats.org/officeDocument/2006/relationships" ref="J43" r:id="rId20"/>
    <hyperlink xmlns:r="http://schemas.openxmlformats.org/officeDocument/2006/relationships" ref="J44" r:id="rId21"/>
    <hyperlink xmlns:r="http://schemas.openxmlformats.org/officeDocument/2006/relationships" ref="J45" r:id="rId22"/>
    <hyperlink xmlns:r="http://schemas.openxmlformats.org/officeDocument/2006/relationships" ref="J46" r:id="rId23"/>
    <hyperlink xmlns:r="http://schemas.openxmlformats.org/officeDocument/2006/relationships" ref="J47" r:id="rId24"/>
    <hyperlink xmlns:r="http://schemas.openxmlformats.org/officeDocument/2006/relationships" ref="J48" r:id="rId25"/>
    <hyperlink xmlns:r="http://schemas.openxmlformats.org/officeDocument/2006/relationships" ref="J49" r:id="rId26"/>
    <hyperlink xmlns:r="http://schemas.openxmlformats.org/officeDocument/2006/relationships" ref="J50" r:id="rId27"/>
    <hyperlink xmlns:r="http://schemas.openxmlformats.org/officeDocument/2006/relationships" ref="J51" r:id="rId28"/>
    <hyperlink xmlns:r="http://schemas.openxmlformats.org/officeDocument/2006/relationships" ref="J52" r:id="rId29"/>
    <hyperlink xmlns:r="http://schemas.openxmlformats.org/officeDocument/2006/relationships" ref="J53" r:id="rId30"/>
    <hyperlink xmlns:r="http://schemas.openxmlformats.org/officeDocument/2006/relationships" ref="J54" r:id="rId31"/>
    <hyperlink xmlns:r="http://schemas.openxmlformats.org/officeDocument/2006/relationships" ref="J55" r:id="rId32"/>
    <hyperlink xmlns:r="http://schemas.openxmlformats.org/officeDocument/2006/relationships" ref="J56" r:id="rId33"/>
    <hyperlink xmlns:r="http://schemas.openxmlformats.org/officeDocument/2006/relationships" ref="J57" r:id="rId34"/>
    <hyperlink xmlns:r="http://schemas.openxmlformats.org/officeDocument/2006/relationships" ref="J58" r:id="rId35"/>
    <hyperlink xmlns:r="http://schemas.openxmlformats.org/officeDocument/2006/relationships" ref="J59" r:id="rId36"/>
    <hyperlink xmlns:r="http://schemas.openxmlformats.org/officeDocument/2006/relationships" ref="J60" r:id="rId37"/>
    <hyperlink xmlns:r="http://schemas.openxmlformats.org/officeDocument/2006/relationships" ref="J61" r:id="rId38"/>
    <hyperlink xmlns:r="http://schemas.openxmlformats.org/officeDocument/2006/relationships" ref="J62" r:id="rId39"/>
    <hyperlink xmlns:r="http://schemas.openxmlformats.org/officeDocument/2006/relationships" ref="J63" r:id="rId40"/>
    <hyperlink xmlns:r="http://schemas.openxmlformats.org/officeDocument/2006/relationships" ref="J64" r:id="rId41"/>
    <hyperlink xmlns:r="http://schemas.openxmlformats.org/officeDocument/2006/relationships" ref="J65" r:id="rId42"/>
    <hyperlink xmlns:r="http://schemas.openxmlformats.org/officeDocument/2006/relationships" ref="J66" r:id="rId43"/>
    <hyperlink xmlns:r="http://schemas.openxmlformats.org/officeDocument/2006/relationships" ref="J67" r:id="rId44"/>
    <hyperlink xmlns:r="http://schemas.openxmlformats.org/officeDocument/2006/relationships" ref="J68" r:id="rId45"/>
    <hyperlink xmlns:r="http://schemas.openxmlformats.org/officeDocument/2006/relationships" ref="J69" r:id="rId46"/>
    <hyperlink xmlns:r="http://schemas.openxmlformats.org/officeDocument/2006/relationships" ref="J70" r:id="rId47"/>
    <hyperlink xmlns:r="http://schemas.openxmlformats.org/officeDocument/2006/relationships" ref="J71" r:id="rId48"/>
    <hyperlink xmlns:r="http://schemas.openxmlformats.org/officeDocument/2006/relationships" ref="J72" r:id="rId49"/>
    <hyperlink xmlns:r="http://schemas.openxmlformats.org/officeDocument/2006/relationships" ref="J73" r:id="rId50"/>
    <hyperlink xmlns:r="http://schemas.openxmlformats.org/officeDocument/2006/relationships" ref="J74" r:id="rId51"/>
    <hyperlink xmlns:r="http://schemas.openxmlformats.org/officeDocument/2006/relationships" ref="J75" r:id="rId52"/>
    <hyperlink xmlns:r="http://schemas.openxmlformats.org/officeDocument/2006/relationships" ref="J76" r:id="rId53"/>
    <hyperlink xmlns:r="http://schemas.openxmlformats.org/officeDocument/2006/relationships" ref="J77" r:id="rId54"/>
    <hyperlink xmlns:r="http://schemas.openxmlformats.org/officeDocument/2006/relationships" ref="B100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2026-08-28T05:20:10Z</dcterms:created>
  <dcterms:modified xmlns:dcterms="http://purl.org/dc/terms/" xmlns:xsi="http://www.w3.org/2001/XMLSchema-instance" xsi:type="dcterms:W3CDTF">2026-09-06T07:53:13Z</dcterms:modified>
</cp:coreProperties>
</file>