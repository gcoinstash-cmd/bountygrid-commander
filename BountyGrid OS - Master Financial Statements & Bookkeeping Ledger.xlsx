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3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29205</v>
      </c>
    </row>
    <row r="2">
      <c r="A2" s="1" t="inlineStr">
        <is>
          <t>Gross Profit Margin</t>
        </is>
      </c>
      <c r="B2" s="6">
        <f>IFERROR('Income Statement'!N11/'Income Statement'!N6, 0)</f>
        <v/>
      </c>
    </row>
    <row r="3">
      <c r="A3" s="1" t="inlineStr">
        <is>
          <t>Net Income</t>
        </is>
      </c>
      <c r="B3" s="4" t="n">
        <v>27205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23775</v>
      </c>
    </row>
    <row r="6">
      <c r="A6" s="1" t="inlineStr">
        <is>
          <t>Monthly Recurring Revenue</t>
        </is>
      </c>
      <c r="B6" s="4" t="n">
        <v>0</v>
      </c>
    </row>
    <row r="7">
      <c r="A7" s="17" t="inlineStr">
        <is>
          <t>Total Tracked Submissions</t>
        </is>
      </c>
      <c r="B7" s="17" t="n">
        <v>227</v>
      </c>
    </row>
    <row r="8">
      <c r="A8" s="17" t="inlineStr">
        <is>
          <t>Annual Financial Comparison</t>
        </is>
      </c>
    </row>
    <row r="9">
      <c r="A9" s="1" t="inlineStr">
        <is>
          <t>Metric</t>
        </is>
      </c>
      <c r="B9" s="1" t="n">
        <v>2026</v>
      </c>
      <c r="C9" s="1" t="n">
        <v>2027</v>
      </c>
      <c r="D9" s="1" t="inlineStr">
        <is>
          <t>YoY Change</t>
        </is>
      </c>
    </row>
    <row r="10">
      <c r="A10" s="7" t="inlineStr">
        <is>
          <t>Total Revenue</t>
        </is>
      </c>
      <c r="B10" s="4" t="n">
        <v>27205</v>
      </c>
      <c r="C10" s="4">
        <f>'Income Statement'!AA6</f>
        <v/>
      </c>
      <c r="D10" s="6">
        <f>IFERROR((C10-B10)/B10, 0)</f>
        <v/>
      </c>
    </row>
    <row r="11">
      <c r="A11" s="7" t="inlineStr">
        <is>
          <t>Gross Profit</t>
        </is>
      </c>
      <c r="B11" s="4" t="n">
        <v>27205</v>
      </c>
      <c r="C11" s="4">
        <f>'Income Statement'!AA11</f>
        <v/>
      </c>
      <c r="D11" s="6">
        <f>IFERROR((C11-B11)/B11, 0)</f>
        <v/>
      </c>
    </row>
    <row r="12">
      <c r="A12" s="7" t="inlineStr">
        <is>
          <t>EBITDA</t>
        </is>
      </c>
      <c r="B12" s="4" t="n">
        <v>19955</v>
      </c>
      <c r="C12" s="4">
        <f>'Income Statement'!AA17</f>
        <v/>
      </c>
      <c r="D12" s="6">
        <f>IFERROR((C12-B12)/B12, 0)</f>
        <v/>
      </c>
    </row>
    <row r="13">
      <c r="A13" s="7" t="inlineStr">
        <is>
          <t>Net Income</t>
        </is>
      </c>
      <c r="B13" s="4" t="n">
        <v>19955</v>
      </c>
      <c r="C13" s="4">
        <f>'Income Statement'!AA18</f>
        <v/>
      </c>
      <c r="D13" s="6">
        <f>IFERROR((C13-B13)/B13, 0)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27205</v>
      </c>
      <c r="J3" s="4">
        <f>IF(J$1="2026 Total", SUM($B3:U3), IF(J$1="2027 Total", SUM($O3:AH3), SUMIFS('Transaction Ledger'!$G:$G, 'Transaction Ledger'!$H:$H, "Bounty Revenue", 'Transaction Ledger'!$A:$A, "&gt;="&amp;J$1, 'Transaction Ledger'!$A:$A, "&lt;="&amp;EOMONTH(J$1,0))))</f>
        <v/>
      </c>
      <c r="K3" s="4">
        <f>IF(K$1="2026 Total", SUM($B3:V3), IF(K$1="2027 Total", SUM($O3:AI3), SUMIFS('Transaction Ledger'!$G:$G, 'Transaction Ledger'!$H:$H, "Bounty Revenue", 'Transaction Ledger'!$A:$A, "&gt;="&amp;K$1, 'Transaction Ledger'!$A:$A, "&lt;="&amp;EOMONTH(K$1,0))))</f>
        <v/>
      </c>
      <c r="L3" s="4">
        <f>IF(L$1="2026 Total", SUM($B3:W3), IF(L$1="2027 Total", SUM($O3:AJ3), SUMIFS('Transaction Ledger'!$G:$G, 'Transaction Ledger'!$H:$H, "Bounty Revenue", 'Transaction Ledger'!$A:$A, "&gt;="&amp;L$1, 'Transaction Ledger'!$A:$A, "&lt;="&amp;EOMONTH(L$1,0))))</f>
        <v/>
      </c>
      <c r="M3" s="4">
        <f>IF(M$1="2026 Total", SUM($B3:X3), IF(M$1="2027 Total", SUM($O3:AK3), SUMIFS('Transaction Ledger'!$G:$G, 'Transaction Ledger'!$H:$H, "Bounty Revenue", 'Transaction Ledger'!$A:$A, "&gt;="&amp;M$1, 'Transaction Ledger'!$A:$A, "&lt;="&amp;EOMONTH(M$1,0))))</f>
        <v/>
      </c>
      <c r="N3" s="4" t="n">
        <v>27205</v>
      </c>
      <c r="O3" s="4">
        <f>IF(O$1="2026 Total", SUM($B3:Z3), IF(O$1="2027 Total", SUM($O3:AM3), SUMIFS('Transaction Ledger'!$G:$G, 'Transaction Ledger'!$H:$H, "Bounty Revenue", 'Transaction Ledger'!$A:$A, "&gt;="&amp;O$1, 'Transaction Ledger'!$A:$A, "&lt;="&amp;EOMONTH(O$1,0))))</f>
        <v/>
      </c>
      <c r="P3" s="4">
        <f>IF(P$1="2026 Total", SUM($B3:AA3), IF(P$1="2027 Total", SUM($O3:AN3), SUMIFS('Transaction Ledger'!$G:$G, 'Transaction Ledger'!$H:$H, "Bounty Revenue", 'Transaction Ledger'!$A:$A, "&gt;="&amp;P$1, 'Transaction Ledger'!$A:$A, "&lt;="&amp;EOMONTH(P$1,0))))</f>
        <v/>
      </c>
      <c r="Q3" s="4">
        <f>IF(Q$1="2026 Total", SUM($B3:AB3), IF(Q$1="2027 Total", SUM($O3:AO3), SUMIFS('Transaction Ledger'!$G:$G, 'Transaction Ledger'!$H:$H, "Bounty Revenue", 'Transaction Ledger'!$A:$A, "&gt;="&amp;Q$1, 'Transaction Ledger'!$A:$A, "&lt;="&amp;EOMONTH(Q$1,0))))</f>
        <v/>
      </c>
      <c r="R3" s="4">
        <f>IF(R$1="2026 Total", SUM($B3:AC3), IF(R$1="2027 Total", SUM($O3:AP3), SUMIFS('Transaction Ledger'!$G:$G, 'Transaction Ledger'!$H:$H, "Bounty Revenue", 'Transaction Ledger'!$A:$A, "&gt;="&amp;R$1, 'Transaction Ledger'!$A:$A, "&lt;="&amp;EOMONTH(R$1,0))))</f>
        <v/>
      </c>
      <c r="S3" s="4">
        <f>IF(S$1="2026 Total", SUM($B3:AD3), IF(S$1="2027 Total", SUM($O3:AQ3), SUMIFS('Transaction Ledger'!$G:$G, 'Transaction Ledger'!$H:$H, "Bounty Revenue", 'Transaction Ledger'!$A:$A, "&gt;="&amp;S$1, 'Transaction Ledger'!$A:$A, "&lt;="&amp;EOMONTH(S$1,0))))</f>
        <v/>
      </c>
      <c r="T3" s="4">
        <f>IF(T$1="2026 Total", SUM($B3:AE3), IF(T$1="2027 Total", SUM($O3:AR3), SUMIFS('Transaction Ledger'!$G:$G, 'Transaction Ledger'!$H:$H, "Bounty Revenue", 'Transaction Ledger'!$A:$A, "&gt;="&amp;T$1, 'Transaction Ledger'!$A:$A, "&lt;="&amp;EOMONTH(T$1,0))))</f>
        <v/>
      </c>
      <c r="U3" s="4">
        <f>IF(U$1="2026 Total", SUM($B3:AF3), IF(U$1="2027 Total", SUM($O3:AS3), SUMIFS('Transaction Ledger'!$G:$G, 'Transaction Ledger'!$H:$H, "Bounty Revenue", 'Transaction Ledger'!$A:$A, "&gt;="&amp;U$1, 'Transaction Ledger'!$A:$A, "&lt;="&amp;EOMONTH(U$1,0))))</f>
        <v/>
      </c>
      <c r="V3" s="4">
        <f>IF(V$1="2026 Total", SUM($B3:AG3), IF(V$1="2027 Total", SUM($O3:AT3), SUMIFS('Transaction Ledger'!$G:$G, 'Transaction Ledger'!$H:$H, "Bounty Revenue", 'Transaction Ledger'!$A:$A, "&gt;="&amp;V$1, 'Transaction Ledger'!$A:$A, "&lt;="&amp;EOMONTH(V$1,0))))</f>
        <v/>
      </c>
      <c r="W3" s="4">
        <f>IF(W$1="2026 Total", SUM($B3:AH3), IF(W$1="2027 Total", SUM($O3:AU3), SUMIFS('Transaction Ledger'!$G:$G, 'Transaction Ledger'!$H:$H, "Bounty Revenue", 'Transaction Ledger'!$A:$A, "&gt;="&amp;W$1, 'Transaction Ledger'!$A:$A, "&lt;="&amp;EOMONTH(W$1,0))))</f>
        <v/>
      </c>
      <c r="X3" s="4">
        <f>IF(X$1="2026 Total", SUM($B3:AI3), IF(X$1="2027 Total", SUM($O3:AV3), SUMIFS('Transaction Ledger'!$G:$G, 'Transaction Ledger'!$H:$H, "Bounty Revenue", 'Transaction Ledger'!$A:$A, "&gt;="&amp;X$1, 'Transaction Ledger'!$A:$A, "&lt;="&amp;EOMONTH(X$1,0))))</f>
        <v/>
      </c>
      <c r="Y3" s="4">
        <f>IF(Y$1="2026 Total", SUM($B3:AJ3), IF(Y$1="2027 Total", SUM($O3:AW3), SUMIFS('Transaction Ledger'!$G:$G, 'Transaction Ledger'!$H:$H, "Bounty Revenue", 'Transaction Ledger'!$A:$A, "&gt;="&amp;Y$1, 'Transaction Ledger'!$A:$A, "&lt;="&amp;EOMONTH(Y$1,0))))</f>
        <v/>
      </c>
      <c r="Z3" s="4">
        <f>IF(Z$1="2026 Total", SUM($B3:AK3), IF(Z$1="2027 Total", SUM($O3:AX3), SUMIFS('Transaction Ledger'!$G:$G, 'Transaction Ledger'!$H:$H, "Bounty Revenue", 'Transaction Ledger'!$A:$A, "&gt;="&amp;Z$1, 'Transaction Ledger'!$A:$A, "&lt;="&amp;EOMONTH(Z$1,0))))</f>
        <v/>
      </c>
      <c r="AA3" s="4">
        <f>SUM(O3:Z3)</f>
        <v/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>
        <f>IF(K$1="2026 Total", SUM($B3:V3), IF(K$1="2027 Total", SUM($O3:AI3), SUMIFS('Transaction Ledger'!$G:$G, 'Transaction Ledger'!$H:$H, "Retainer Revenue", 'Transaction Ledger'!$A:$A, "&gt;="&amp;K$1, 'Transaction Ledger'!$A:$A, "&lt;="&amp;EOMONTH(K$1,0))))</f>
        <v/>
      </c>
      <c r="L4" s="4">
        <f>IF(L$1="2026 Total", SUM($B3:W3), IF(L$1="2027 Total", SUM($O3:AJ3), SUMIFS('Transaction Ledger'!$G:$G, 'Transaction Ledger'!$H:$H, "Retainer Revenue", 'Transaction Ledger'!$A:$A, "&gt;="&amp;L$1, 'Transaction Ledger'!$A:$A, "&lt;="&amp;EOMONTH(L$1,0))))</f>
        <v/>
      </c>
      <c r="M4" s="4">
        <f>IF(M$1="2026 Total", SUM($B3:X3), IF(M$1="2027 Total", SUM($O3:AK3), SUMIFS('Transaction Ledger'!$G:$G, 'Transaction Ledger'!$H:$H, "Retainer Revenue", 'Transaction Ledger'!$A:$A, "&gt;="&amp;M$1, 'Transaction Ledger'!$A:$A, "&lt;="&amp;EOMONTH(M$1,0))))</f>
        <v/>
      </c>
      <c r="N4" s="4">
        <f>SUM(B4:M4)</f>
        <v/>
      </c>
      <c r="O4" s="4">
        <f>IF(O$1="2026 Total", SUM($B3:Z3), IF(O$1="2027 Total", SUM($O3:AM3), SUMIFS('Transaction Ledger'!$G:$G, 'Transaction Ledger'!$H:$H, "Retainer Revenue", 'Transaction Ledger'!$A:$A, "&gt;="&amp;O$1, 'Transaction Ledger'!$A:$A, "&lt;="&amp;EOMONTH(O$1,0))))</f>
        <v/>
      </c>
      <c r="P4" s="4">
        <f>IF(P$1="2026 Total", SUM($B3:AA3), IF(P$1="2027 Total", SUM($O3:AN3), SUMIFS('Transaction Ledger'!$G:$G, 'Transaction Ledger'!$H:$H, "Retainer Revenue", 'Transaction Ledger'!$A:$A, "&gt;="&amp;P$1, 'Transaction Ledger'!$A:$A, "&lt;="&amp;EOMONTH(P$1,0))))</f>
        <v/>
      </c>
      <c r="Q4" s="4">
        <f>IF(Q$1="2026 Total", SUM($B3:AB3), IF(Q$1="2027 Total", SUM($O3:AO3), SUMIFS('Transaction Ledger'!$G:$G, 'Transaction Ledger'!$H:$H, "Retainer Revenue", 'Transaction Ledger'!$A:$A, "&gt;="&amp;Q$1, 'Transaction Ledger'!$A:$A, "&lt;="&amp;EOMONTH(Q$1,0))))</f>
        <v/>
      </c>
      <c r="R4" s="4">
        <f>IF(R$1="2026 Total", SUM($B3:AC3), IF(R$1="2027 Total", SUM($O3:AP3), SUMIFS('Transaction Ledger'!$G:$G, 'Transaction Ledger'!$H:$H, "Retainer Revenue", 'Transaction Ledger'!$A:$A, "&gt;="&amp;R$1, 'Transaction Ledger'!$A:$A, "&lt;="&amp;EOMONTH(R$1,0))))</f>
        <v/>
      </c>
      <c r="S4" s="4">
        <f>IF(S$1="2026 Total", SUM($B3:AD3), IF(S$1="2027 Total", SUM($O3:AQ3), SUMIFS('Transaction Ledger'!$G:$G, 'Transaction Ledger'!$H:$H, "Retainer Revenue", 'Transaction Ledger'!$A:$A, "&gt;="&amp;S$1, 'Transaction Ledger'!$A:$A, "&lt;="&amp;EOMONTH(S$1,0))))</f>
        <v/>
      </c>
      <c r="T4" s="4">
        <f>IF(T$1="2026 Total", SUM($B3:AE3), IF(T$1="2027 Total", SUM($O3:AR3), SUMIFS('Transaction Ledger'!$G:$G, 'Transaction Ledger'!$H:$H, "Retainer Revenue", 'Transaction Ledger'!$A:$A, "&gt;="&amp;T$1, 'Transaction Ledger'!$A:$A, "&lt;="&amp;EOMONTH(T$1,0))))</f>
        <v/>
      </c>
      <c r="U4" s="4">
        <f>IF(U$1="2026 Total", SUM($B3:AF3), IF(U$1="2027 Total", SUM($O3:AS3), SUMIFS('Transaction Ledger'!$G:$G, 'Transaction Ledger'!$H:$H, "Retainer Revenue", 'Transaction Ledger'!$A:$A, "&gt;="&amp;U$1, 'Transaction Ledger'!$A:$A, "&lt;="&amp;EOMONTH(U$1,0))))</f>
        <v/>
      </c>
      <c r="V4" s="4">
        <f>IF(V$1="2026 Total", SUM($B3:AG3), IF(V$1="2027 Total", SUM($O3:AT3), SUMIFS('Transaction Ledger'!$G:$G, 'Transaction Ledger'!$H:$H, "Retainer Revenue", 'Transaction Ledger'!$A:$A, "&gt;="&amp;V$1, 'Transaction Ledger'!$A:$A, "&lt;="&amp;EOMONTH(V$1,0))))</f>
        <v/>
      </c>
      <c r="W4" s="4">
        <f>IF(W$1="2026 Total", SUM($B3:AH3), IF(W$1="2027 Total", SUM($O3:AU3), SUMIFS('Transaction Ledger'!$G:$G, 'Transaction Ledger'!$H:$H, "Retainer Revenue", 'Transaction Ledger'!$A:$A, "&gt;="&amp;W$1, 'Transaction Ledger'!$A:$A, "&lt;="&amp;EOMONTH(W$1,0))))</f>
        <v/>
      </c>
      <c r="X4" s="4">
        <f>IF(X$1="2026 Total", SUM($B3:AI3), IF(X$1="2027 Total", SUM($O3:AV3), SUMIFS('Transaction Ledger'!$G:$G, 'Transaction Ledger'!$H:$H, "Retainer Revenue", 'Transaction Ledger'!$A:$A, "&gt;="&amp;X$1, 'Transaction Ledger'!$A:$A, "&lt;="&amp;EOMONTH(X$1,0))))</f>
        <v/>
      </c>
      <c r="Y4" s="4">
        <f>IF(Y$1="2026 Total", SUM($B3:AJ3), IF(Y$1="2027 Total", SUM($O3:AW3), SUMIFS('Transaction Ledger'!$G:$G, 'Transaction Ledger'!$H:$H, "Retainer Revenue", 'Transaction Ledger'!$A:$A, "&gt;="&amp;Y$1, 'Transaction Ledger'!$A:$A, "&lt;="&amp;EOMONTH(Y$1,0))))</f>
        <v/>
      </c>
      <c r="Z4" s="4">
        <f>IF(Z$1="2026 Total", SUM($B3:AK3), IF(Z$1="2027 Total", SUM($O3:AX3), SUMIFS('Transaction Ledger'!$G:$G, 'Transaction Ledger'!$H:$H, "Retainer Revenue", 'Transaction Ledger'!$A:$A, "&gt;="&amp;Z$1, 'Transaction Ledger'!$A:$A, "&lt;="&amp;EOMONTH(Z$1,0))))</f>
        <v/>
      </c>
      <c r="AA4" s="4">
        <f>SUM(O4:Z4)</f>
        <v/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27205</v>
      </c>
      <c r="J6" s="4">
        <f>SUM(J3:J5)</f>
        <v/>
      </c>
      <c r="K6" s="4">
        <f>SUM(K3:K5)</f>
        <v/>
      </c>
      <c r="L6" s="4">
        <f>SUM(L3:L5)</f>
        <v/>
      </c>
      <c r="M6" s="4">
        <f>SUM(M3:M5)</f>
        <v/>
      </c>
      <c r="N6" s="4" t="n">
        <v>27205</v>
      </c>
      <c r="O6" s="4">
        <f>SUM(O3:O5)</f>
        <v/>
      </c>
      <c r="P6" s="4">
        <f>SUM(P3:P5)</f>
        <v/>
      </c>
      <c r="Q6" s="4">
        <f>SUM(Q3:Q5)</f>
        <v/>
      </c>
      <c r="R6" s="4">
        <f>SUM(R3:R5)</f>
        <v/>
      </c>
      <c r="S6" s="4">
        <f>SUM(S3:S5)</f>
        <v/>
      </c>
      <c r="T6" s="4">
        <f>SUM(T3:T5)</f>
        <v/>
      </c>
      <c r="U6" s="4">
        <f>SUM(U3:U5)</f>
        <v/>
      </c>
      <c r="V6" s="4">
        <f>SUM(V3:V5)</f>
        <v/>
      </c>
      <c r="W6" s="4">
        <f>SUM(W3:W5)</f>
        <v/>
      </c>
      <c r="X6" s="4">
        <f>SUM(X3:X5)</f>
        <v/>
      </c>
      <c r="Y6" s="4">
        <f>SUM(Y3:Y5)</f>
        <v/>
      </c>
      <c r="Z6" s="4">
        <f>SUM(Z3:Z5)</f>
        <v/>
      </c>
      <c r="AA6" s="4">
        <f>SUM(O6:Z6)</f>
        <v/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27205</v>
      </c>
      <c r="J11" s="4">
        <f>J6-J10</f>
        <v/>
      </c>
      <c r="K11" s="4">
        <f>K6-K10</f>
        <v/>
      </c>
      <c r="L11" s="4">
        <f>L6-L10</f>
        <v/>
      </c>
      <c r="M11" s="4">
        <f>M6-M10</f>
        <v/>
      </c>
      <c r="N11" s="4" t="n">
        <v>27205</v>
      </c>
      <c r="O11" s="4">
        <f>O6-O10</f>
        <v/>
      </c>
      <c r="P11" s="4">
        <f>P6-P10</f>
        <v/>
      </c>
      <c r="Q11" s="4">
        <f>Q6-Q10</f>
        <v/>
      </c>
      <c r="R11" s="4">
        <f>R6-R10</f>
        <v/>
      </c>
      <c r="S11" s="4">
        <f>S6-S10</f>
        <v/>
      </c>
      <c r="T11" s="4">
        <f>T6-T10</f>
        <v/>
      </c>
      <c r="U11" s="4">
        <f>U6-U10</f>
        <v/>
      </c>
      <c r="V11" s="4">
        <f>V6-V10</f>
        <v/>
      </c>
      <c r="W11" s="4">
        <f>W6-W10</f>
        <v/>
      </c>
      <c r="X11" s="4">
        <f>X6-X10</f>
        <v/>
      </c>
      <c r="Y11" s="4">
        <f>Y6-Y10</f>
        <v/>
      </c>
      <c r="Z11" s="4">
        <f>Z6-Z10</f>
        <v/>
      </c>
      <c r="AA11" s="4">
        <f>SUM(O11:Z11)</f>
        <v/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>
        <f>SUM(B16:M16)</f>
        <v/>
      </c>
      <c r="O16" s="4">
        <f>SUM(O13:O15)</f>
        <v/>
      </c>
      <c r="P16" s="4">
        <f>SUM(P13:P15)</f>
        <v/>
      </c>
      <c r="Q16" s="4">
        <f>SUM(Q13:Q15)</f>
        <v/>
      </c>
      <c r="R16" s="4">
        <f>SUM(R13:R15)</f>
        <v/>
      </c>
      <c r="S16" s="4">
        <f>SUM(S13:S15)</f>
        <v/>
      </c>
      <c r="T16" s="4">
        <f>SUM(T13:T15)</f>
        <v/>
      </c>
      <c r="U16" s="4">
        <f>SUM(U13:U15)</f>
        <v/>
      </c>
      <c r="V16" s="4">
        <f>SUM(V13:V15)</f>
        <v/>
      </c>
      <c r="W16" s="4">
        <f>SUM(W13:W15)</f>
        <v/>
      </c>
      <c r="X16" s="4">
        <f>SUM(X13:X15)</f>
        <v/>
      </c>
      <c r="Y16" s="4">
        <f>SUM(Y13:Y15)</f>
        <v/>
      </c>
      <c r="Z16" s="4">
        <f>SUM(Z13:Z15)</f>
        <v/>
      </c>
      <c r="AA16" s="4">
        <f>SUM(O16:Z16)</f>
        <v/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27205</v>
      </c>
      <c r="J17" s="4">
        <f>J11-J16</f>
        <v/>
      </c>
      <c r="K17" s="4">
        <f>K11-K16</f>
        <v/>
      </c>
      <c r="L17" s="4">
        <f>L11-L16</f>
        <v/>
      </c>
      <c r="M17" s="4">
        <f>M11-M16</f>
        <v/>
      </c>
      <c r="N17" s="4" t="n">
        <v>27205</v>
      </c>
      <c r="O17" s="4">
        <f>O11-O16</f>
        <v/>
      </c>
      <c r="P17" s="4">
        <f>P11-P16</f>
        <v/>
      </c>
      <c r="Q17" s="4">
        <f>Q11-Q16</f>
        <v/>
      </c>
      <c r="R17" s="4">
        <f>R11-R16</f>
        <v/>
      </c>
      <c r="S17" s="4">
        <f>S11-S16</f>
        <v/>
      </c>
      <c r="T17" s="4">
        <f>T11-T16</f>
        <v/>
      </c>
      <c r="U17" s="4">
        <f>U11-U16</f>
        <v/>
      </c>
      <c r="V17" s="4">
        <f>V11-V16</f>
        <v/>
      </c>
      <c r="W17" s="4">
        <f>W11-W16</f>
        <v/>
      </c>
      <c r="X17" s="4">
        <f>X11-X16</f>
        <v/>
      </c>
      <c r="Y17" s="4">
        <f>Y11-Y16</f>
        <v/>
      </c>
      <c r="Z17" s="4">
        <f>Z11-Z16</f>
        <v/>
      </c>
      <c r="AA17" s="4">
        <f>SUM(O17:Z17)</f>
        <v/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27205</v>
      </c>
      <c r="J18" s="4">
        <f>J17</f>
        <v/>
      </c>
      <c r="K18" s="4">
        <f>K17</f>
        <v/>
      </c>
      <c r="L18" s="4">
        <f>L17</f>
        <v/>
      </c>
      <c r="M18" s="4">
        <f>M17</f>
        <v/>
      </c>
      <c r="N18" s="4" t="n">
        <v>27205</v>
      </c>
      <c r="O18" s="4">
        <f>O17</f>
        <v/>
      </c>
      <c r="P18" s="4">
        <f>P17</f>
        <v/>
      </c>
      <c r="Q18" s="4">
        <f>Q17</f>
        <v/>
      </c>
      <c r="R18" s="4">
        <f>R17</f>
        <v/>
      </c>
      <c r="S18" s="4">
        <f>S17</f>
        <v/>
      </c>
      <c r="T18" s="4">
        <f>T17</f>
        <v/>
      </c>
      <c r="U18" s="4">
        <f>U17</f>
        <v/>
      </c>
      <c r="V18" s="4">
        <f>V17</f>
        <v/>
      </c>
      <c r="W18" s="4">
        <f>W17</f>
        <v/>
      </c>
      <c r="X18" s="4">
        <f>X17</f>
        <v/>
      </c>
      <c r="Y18" s="4">
        <f>Y17</f>
        <v/>
      </c>
      <c r="Z18" s="4">
        <f>Z17</f>
        <v/>
      </c>
      <c r="AA18" s="4">
        <f>SUM(O18:Z18)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21775</v>
      </c>
    </row>
    <row r="6">
      <c r="A6" s="7" t="inlineStr">
        <is>
          <t>Total Assets</t>
        </is>
      </c>
      <c r="B6" s="4" t="n">
        <v>27205</v>
      </c>
    </row>
    <row r="7">
      <c r="A7" s="7" t="inlineStr">
        <is>
          <t>Liabilities</t>
        </is>
      </c>
      <c r="B7" s="4" t="n"/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27205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27205</v>
      </c>
    </row>
    <row r="17">
      <c r="A17" s="7" t="inlineStr">
        <is>
          <t>Balance Check</t>
        </is>
      </c>
      <c r="B17" s="4">
        <f>B6-B16</f>
        <v/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27205</v>
      </c>
    </row>
    <row r="4">
      <c r="A4" s="7" t="inlineStr">
        <is>
          <t>Adjustments for A/R changes</t>
        </is>
      </c>
      <c r="B4" s="4" t="n">
        <v>-21775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985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claude-builders-bounty 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claude-builders-bounty 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claude-builders-bounty 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Closed (Unmerged)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claude-builders-bounty 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claude-builders-bounty 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(PR #837: 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/ Settled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Closed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Closed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Closed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Pending Merge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calcom/cal.diy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Closed (Unmerged)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/ Settled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/ Settled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/ Settled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/ Settled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/ Settled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/ Settled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Closed (Unmerged)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Closed (Unmerged)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Closed (Unmerged)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Closed (Unmerged)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Closed (Unmerged)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Closed (Unmerged)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Closed (Unmerged)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Closed (Unmerged)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Closed (Unmerged)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Closed (Unmerged)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18" t="inlineStr">
        <is>
          <t>lily-frontend</t>
        </is>
      </c>
      <c r="F163" s="18" t="n">
        <v>75</v>
      </c>
      <c r="G163" s="18" t="n">
        <v>75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46266</v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18" t="inlineStr">
        <is>
          <t>lily-frontend</t>
        </is>
      </c>
      <c r="F164" s="18" t="n">
        <v>75</v>
      </c>
      <c r="G164" s="18" t="n">
        <v>75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46266</v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18" t="inlineStr">
        <is>
          <t>lily-frontend</t>
        </is>
      </c>
      <c r="F165" s="18" t="n">
        <v>75</v>
      </c>
      <c r="G165" s="18" t="n">
        <v>75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18" t="inlineStr">
        <is>
          <t>lily-frontend</t>
        </is>
      </c>
      <c r="F166" s="18" t="n">
        <v>75</v>
      </c>
      <c r="G166" s="18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18" t="inlineStr">
        <is>
          <t>lily-frontend</t>
        </is>
      </c>
      <c r="F167" s="18" t="n">
        <v>75</v>
      </c>
      <c r="G167" s="18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46267.96223643518</v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18" t="n">
        <v>250</v>
      </c>
      <c r="F168" s="18" t="n">
        <v>0</v>
      </c>
      <c r="G168" s="18" t="n">
        <v>250</v>
      </c>
      <c r="H168" s="0" t="inlineStr">
        <is>
          <t>Bounty Revenue</t>
        </is>
      </c>
      <c r="I168" s="0" t="inlineStr">
        <is>
          <t>Pending Merge</t>
        </is>
      </c>
    </row>
    <row r="169">
      <c r="A169" s="24" t="n">
        <v>46267.96232569445</v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18" t="n">
        <v>200</v>
      </c>
      <c r="F169" s="18" t="n">
        <v>0</v>
      </c>
      <c r="G169" s="18" t="n">
        <v>200</v>
      </c>
      <c r="H169" s="0" t="inlineStr">
        <is>
          <t>Bounty Revenue</t>
        </is>
      </c>
      <c r="I169" s="0" t="inlineStr">
        <is>
          <t>Closed (Unmerged)</t>
        </is>
      </c>
    </row>
    <row r="170">
      <c r="A170" s="24" t="n">
        <v>46267.96239030093</v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18" t="n">
        <v>250</v>
      </c>
      <c r="F170" s="18" t="n">
        <v>0</v>
      </c>
      <c r="G170" s="18" t="n">
        <v>250</v>
      </c>
      <c r="H170" s="0" t="inlineStr">
        <is>
          <t>Bounty Revenue</t>
        </is>
      </c>
      <c r="I170" s="0" t="inlineStr">
        <is>
          <t>Pending Merge</t>
        </is>
      </c>
    </row>
    <row r="171">
      <c r="A171" s="24" t="n">
        <v>46267.96247366898</v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18" t="n">
        <v>200</v>
      </c>
      <c r="F171" s="18" t="n">
        <v>0</v>
      </c>
      <c r="G171" s="18" t="n">
        <v>200</v>
      </c>
      <c r="H171" s="0" t="inlineStr">
        <is>
          <t>Bounty Revenue</t>
        </is>
      </c>
      <c r="I171" s="0" t="inlineStr">
        <is>
          <t>Pending Merge</t>
        </is>
      </c>
    </row>
    <row r="172">
      <c r="A172" s="24" t="n">
        <v>46267.96260259259</v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18" t="n">
        <v>150</v>
      </c>
      <c r="F172" s="18" t="n">
        <v>0</v>
      </c>
      <c r="G172" s="18" t="n">
        <v>150</v>
      </c>
      <c r="H172" s="0" t="inlineStr">
        <is>
          <t>Bounty Revenue</t>
        </is>
      </c>
      <c r="I172" s="0" t="inlineStr">
        <is>
          <t>Pending Merge</t>
        </is>
      </c>
    </row>
    <row r="173">
      <c r="A173" s="24" t="n">
        <v>46267.9669971875</v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18" t="n">
        <v>250</v>
      </c>
      <c r="F173" s="18" t="n">
        <v>0</v>
      </c>
      <c r="G173" s="18" t="n">
        <v>250</v>
      </c>
      <c r="H173" s="0" t="inlineStr">
        <is>
          <t>Bounty Revenue</t>
        </is>
      </c>
      <c r="I173" s="0" t="inlineStr">
        <is>
          <t>Pending Merge</t>
        </is>
      </c>
    </row>
    <row r="174">
      <c r="A174" s="24" t="n">
        <v>46267.96707013889</v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18" t="n">
        <v>200</v>
      </c>
      <c r="F174" s="18" t="n">
        <v>0</v>
      </c>
      <c r="G174" s="18" t="n">
        <v>200</v>
      </c>
      <c r="H174" s="0" t="inlineStr">
        <is>
          <t>Bounty Revenue</t>
        </is>
      </c>
      <c r="I174" s="0" t="inlineStr">
        <is>
          <t>Closed (Unmerged)</t>
        </is>
      </c>
    </row>
    <row r="175">
      <c r="A175" s="24" t="n">
        <v>46267.96717945602</v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18" t="n">
        <v>250</v>
      </c>
      <c r="F175" s="18" t="n">
        <v>0</v>
      </c>
      <c r="G175" s="18" t="n">
        <v>250</v>
      </c>
      <c r="H175" s="0" t="inlineStr">
        <is>
          <t>Bounty Revenue</t>
        </is>
      </c>
      <c r="I175" s="0" t="inlineStr">
        <is>
          <t>Pending Merge</t>
        </is>
      </c>
    </row>
    <row r="176">
      <c r="A176" s="24" t="n">
        <v>46267.96730409722</v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18" t="n">
        <v>200</v>
      </c>
      <c r="F176" s="18" t="n">
        <v>0</v>
      </c>
      <c r="G176" s="18" t="n">
        <v>200</v>
      </c>
      <c r="H176" s="0" t="inlineStr">
        <is>
          <t>Bounty Revenue</t>
        </is>
      </c>
      <c r="I176" s="0" t="inlineStr">
        <is>
          <t>Pending Merge</t>
        </is>
      </c>
    </row>
    <row r="177">
      <c r="A177" s="24" t="n">
        <v>46267.96742083333</v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18" t="n">
        <v>150</v>
      </c>
      <c r="F177" s="18" t="n">
        <v>0</v>
      </c>
      <c r="G177" s="18" t="n">
        <v>150</v>
      </c>
      <c r="H177" s="0" t="inlineStr">
        <is>
          <t>Bounty Revenue</t>
        </is>
      </c>
      <c r="I177" s="0" t="inlineStr">
        <is>
          <t>Pending Merge</t>
        </is>
      </c>
    </row>
    <row r="178">
      <c r="A178" s="24" t="n">
        <v>46268.10445268518</v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18" t="n">
        <v>250</v>
      </c>
      <c r="F178" s="18" t="n">
        <v>0</v>
      </c>
      <c r="G178" s="18" t="n">
        <v>250</v>
      </c>
      <c r="H178" s="0" t="inlineStr">
        <is>
          <t>Bounty Revenue</t>
        </is>
      </c>
      <c r="I178" s="0" t="inlineStr">
        <is>
          <t>Pending Merge</t>
        </is>
      </c>
    </row>
    <row r="179">
      <c r="A179" s="24" t="n">
        <v>46268.10452164352</v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18" t="n">
        <v>200</v>
      </c>
      <c r="F179" s="18" t="n">
        <v>0</v>
      </c>
      <c r="G179" s="18" t="n">
        <v>200</v>
      </c>
      <c r="H179" s="0" t="inlineStr">
        <is>
          <t>Bounty Revenue</t>
        </is>
      </c>
      <c r="I179" s="0" t="inlineStr">
        <is>
          <t>Closed (Unmerged)</t>
        </is>
      </c>
    </row>
    <row r="180">
      <c r="A180" s="24" t="n">
        <v>46268.10461475694</v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18" t="n">
        <v>250</v>
      </c>
      <c r="F180" s="18" t="n">
        <v>0</v>
      </c>
      <c r="G180" s="18" t="n">
        <v>250</v>
      </c>
      <c r="H180" s="0" t="inlineStr">
        <is>
          <t>Bounty Revenue</t>
        </is>
      </c>
      <c r="I180" s="0" t="inlineStr">
        <is>
          <t>Pending Merge</t>
        </is>
      </c>
    </row>
    <row r="181">
      <c r="A181" s="24" t="n">
        <v>46268.10470806713</v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18" t="n">
        <v>200</v>
      </c>
      <c r="F181" s="18" t="n">
        <v>0</v>
      </c>
      <c r="G181" s="18" t="n">
        <v>200</v>
      </c>
      <c r="H181" s="0" t="inlineStr">
        <is>
          <t>Bounty Revenue</t>
        </is>
      </c>
      <c r="I181" s="0" t="inlineStr">
        <is>
          <t>Pending Merge</t>
        </is>
      </c>
    </row>
    <row r="182">
      <c r="A182" s="24" t="n">
        <v>46268.1047996875</v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18" t="n">
        <v>150</v>
      </c>
      <c r="F182" s="18" t="n">
        <v>0</v>
      </c>
      <c r="G182" s="18" t="n">
        <v>150</v>
      </c>
      <c r="H182" s="0" t="inlineStr">
        <is>
          <t>Bounty Revenue</t>
        </is>
      </c>
      <c r="I182" s="0" t="inlineStr">
        <is>
          <t>Pending Merge</t>
        </is>
      </c>
    </row>
    <row r="183">
      <c r="A183" s="24" t="n">
        <v>46268.45833265047</v>
      </c>
      <c r="B183" s="0" t="inlineStr">
        <is>
          <t>PERMIFY-3134</t>
        </is>
      </c>
      <c r="C183" s="0" t="inlineStr">
        <is>
          <t>Algora / Stripe</t>
        </is>
      </c>
      <c r="D183" s="0" t="inlineStr">
        <is>
          <t>Permify (PR #3134: entity tuple validation regression tests)</t>
        </is>
      </c>
      <c r="E183" s="18" t="n">
        <v>250</v>
      </c>
      <c r="F183" s="18" t="n">
        <v>0</v>
      </c>
      <c r="G183" s="18" t="n">
        <v>250</v>
      </c>
      <c r="H183" s="0" t="inlineStr">
        <is>
          <t>Bounty Revenue</t>
        </is>
      </c>
      <c r="I183" s="0" t="inlineStr">
        <is>
          <t>Pending Merge</t>
        </is>
      </c>
    </row>
    <row r="184">
      <c r="A184" s="24" t="n">
        <v>46268.45833265047</v>
      </c>
      <c r="B184" s="0" t="inlineStr">
        <is>
          <t>PD-SUB-1851</t>
        </is>
      </c>
      <c r="C184" s="0" t="inlineStr">
        <is>
          <t>Algora / Stripe</t>
        </is>
      </c>
      <c r="D184" s="0" t="inlineStr">
        <is>
          <t>ProjectDiscovery (PR #1851: subdomain extraction boundary tests in subfinder)</t>
        </is>
      </c>
      <c r="E184" s="18" t="n">
        <v>200</v>
      </c>
      <c r="F184" s="18" t="n">
        <v>0</v>
      </c>
      <c r="G184" s="18" t="n">
        <v>200</v>
      </c>
      <c r="H184" s="0" t="inlineStr">
        <is>
          <t>Bounty Revenue</t>
        </is>
      </c>
      <c r="I184" s="0" t="inlineStr">
        <is>
          <t>Pending Merge</t>
        </is>
      </c>
    </row>
    <row r="185">
      <c r="A185" s="24" t="n">
        <v>46268.45833265047</v>
      </c>
      <c r="B185" s="0" t="inlineStr">
        <is>
          <t>PD-KATANA-1804</t>
        </is>
      </c>
      <c r="C185" s="0" t="inlineStr">
        <is>
          <t>Algora / Stripe</t>
        </is>
      </c>
      <c r="D185" s="0" t="inlineStr">
        <is>
          <t>ProjectDiscovery (PR #1804: robotstxt crawler boundary tests in katana)</t>
        </is>
      </c>
      <c r="E185" s="18" t="n">
        <v>200</v>
      </c>
      <c r="F185" s="18" t="n">
        <v>0</v>
      </c>
      <c r="G185" s="18" t="n">
        <v>200</v>
      </c>
      <c r="H185" s="0" t="inlineStr">
        <is>
          <t>Bounty Revenue</t>
        </is>
      </c>
      <c r="I185" s="0" t="inlineStr">
        <is>
          <t>Pending Merge</t>
        </is>
      </c>
    </row>
    <row r="186">
      <c r="A186" s="24" t="n">
        <v>46268.45833265047</v>
      </c>
      <c r="B186" s="0" t="inlineStr">
        <is>
          <t>LILLY-STELLAR-336</t>
        </is>
      </c>
      <c r="C186" s="0" t="inlineStr">
        <is>
          <t>Stellar / Algora</t>
        </is>
      </c>
      <c r="D186" s="0" t="inlineStr">
        <is>
          <t>Lilly-Protocol (PR #336: Soroban access controller authorization tests)</t>
        </is>
      </c>
      <c r="E186" s="18" t="n">
        <v>250</v>
      </c>
      <c r="F186" s="18" t="n">
        <v>0</v>
      </c>
      <c r="G186" s="18" t="n">
        <v>250</v>
      </c>
      <c r="H186" s="0" t="inlineStr">
        <is>
          <t>Bounty Revenue</t>
        </is>
      </c>
      <c r="I186" s="0" t="inlineStr">
        <is>
          <t>Pending Merge</t>
        </is>
      </c>
    </row>
    <row r="187">
      <c r="A187" s="24" t="n">
        <v>46268.45833265047</v>
      </c>
      <c r="B187" s="0" t="inlineStr">
        <is>
          <t>TS-CIRCUIT-1057</t>
        </is>
      </c>
      <c r="C187" s="0" t="inlineStr">
        <is>
          <t>Algora / Stripe</t>
        </is>
      </c>
      <c r="D187" s="0" t="inlineStr">
        <is>
          <t>tscircuit (PR #1057: two-pin terminal stub routing tests in schematic solver)</t>
        </is>
      </c>
      <c r="E187" s="18" t="n">
        <v>150</v>
      </c>
      <c r="F187" s="18" t="n">
        <v>0</v>
      </c>
      <c r="G187" s="18" t="n">
        <v>150</v>
      </c>
      <c r="H187" s="0" t="inlineStr">
        <is>
          <t>Bounty Revenue</t>
        </is>
      </c>
      <c r="I187" s="0" t="inlineStr">
        <is>
          <t>Pending Merge</t>
        </is>
      </c>
    </row>
    <row r="188">
      <c r="A188" s="24" t="n">
        <v>46268.46784972222</v>
      </c>
      <c r="B188" s="0" t="inlineStr">
        <is>
          <t>PERMIFY-3135</t>
        </is>
      </c>
      <c r="C188" s="0" t="inlineStr">
        <is>
          <t>Algora / Stripe</t>
        </is>
      </c>
      <c r="D188" s="0" t="inlineStr">
        <is>
          <t>Permify (PR #3135: entity tuple validation regression tests)</t>
        </is>
      </c>
      <c r="E188" s="18" t="n">
        <v>250</v>
      </c>
      <c r="F188" s="18" t="n">
        <v>0</v>
      </c>
      <c r="G188" s="18" t="n">
        <v>250</v>
      </c>
      <c r="H188" s="0" t="inlineStr">
        <is>
          <t>Bounty Revenue</t>
        </is>
      </c>
      <c r="I188" s="0" t="inlineStr">
        <is>
          <t>Pending Merge</t>
        </is>
      </c>
    </row>
    <row r="189">
      <c r="A189" s="24" t="n">
        <v>46268.46784972222</v>
      </c>
      <c r="B189" s="0" t="inlineStr">
        <is>
          <t>PD-SUB-1852</t>
        </is>
      </c>
      <c r="C189" s="0" t="inlineStr">
        <is>
          <t>Algora / Stripe</t>
        </is>
      </c>
      <c r="D189" s="0" t="inlineStr">
        <is>
          <t>ProjectDiscovery (PR #1852: subdomain extraction boundary tests in subfinder)</t>
        </is>
      </c>
      <c r="E189" s="18" t="n">
        <v>200</v>
      </c>
      <c r="F189" s="18" t="n">
        <v>0</v>
      </c>
      <c r="G189" s="18" t="n">
        <v>200</v>
      </c>
      <c r="H189" s="0" t="inlineStr">
        <is>
          <t>Bounty Revenue</t>
        </is>
      </c>
      <c r="I189" s="0" t="inlineStr">
        <is>
          <t>Pending Merge</t>
        </is>
      </c>
    </row>
    <row r="190">
      <c r="A190" s="24" t="n">
        <v>46268.46784972222</v>
      </c>
      <c r="B190" s="0" t="inlineStr">
        <is>
          <t>PD-KATANA-1805</t>
        </is>
      </c>
      <c r="C190" s="0" t="inlineStr">
        <is>
          <t>Algora / Stripe</t>
        </is>
      </c>
      <c r="D190" s="0" t="inlineStr">
        <is>
          <t>ProjectDiscovery (PR #1805: robotstxt crawler boundary tests in katana)</t>
        </is>
      </c>
      <c r="E190" s="18" t="n">
        <v>200</v>
      </c>
      <c r="F190" s="18" t="n">
        <v>0</v>
      </c>
      <c r="G190" s="18" t="n">
        <v>200</v>
      </c>
      <c r="H190" s="0" t="inlineStr">
        <is>
          <t>Bounty Revenue</t>
        </is>
      </c>
      <c r="I190" s="0" t="inlineStr">
        <is>
          <t>Pending Merge</t>
        </is>
      </c>
    </row>
    <row r="191">
      <c r="A191" s="24" t="n">
        <v>46268.46784972222</v>
      </c>
      <c r="B191" s="0" t="inlineStr">
        <is>
          <t>LILLY-STELLAR-338</t>
        </is>
      </c>
      <c r="C191" s="0" t="inlineStr">
        <is>
          <t>Stellar / Algora</t>
        </is>
      </c>
      <c r="D191" s="0" t="inlineStr">
        <is>
          <t>Lilly-Protocol (PR #338: Soroban access controller authorization tests)</t>
        </is>
      </c>
      <c r="E191" s="18" t="n">
        <v>250</v>
      </c>
      <c r="F191" s="18" t="n">
        <v>0</v>
      </c>
      <c r="G191" s="18" t="n">
        <v>250</v>
      </c>
      <c r="H191" s="0" t="inlineStr">
        <is>
          <t>Bounty Revenue</t>
        </is>
      </c>
      <c r="I191" s="0" t="inlineStr">
        <is>
          <t>Pending Merge</t>
        </is>
      </c>
    </row>
    <row r="192">
      <c r="A192" s="24" t="n">
        <v>46268.46784972222</v>
      </c>
      <c r="B192" s="0" t="inlineStr">
        <is>
          <t>TS-CIRCUIT-1058</t>
        </is>
      </c>
      <c r="C192" s="0" t="inlineStr">
        <is>
          <t>Algora / Stripe</t>
        </is>
      </c>
      <c r="D192" s="0" t="inlineStr">
        <is>
          <t>tscircuit (PR #1058: two-pin terminal stub routing tests in schematic solver)</t>
        </is>
      </c>
      <c r="E192" s="18" t="n">
        <v>150</v>
      </c>
      <c r="F192" s="18" t="n">
        <v>0</v>
      </c>
      <c r="G192" s="18" t="n">
        <v>150</v>
      </c>
      <c r="H192" s="0" t="inlineStr">
        <is>
          <t>Bounty Revenue</t>
        </is>
      </c>
      <c r="I192" s="0" t="inlineStr">
        <is>
          <t>Pending Merge</t>
        </is>
      </c>
    </row>
    <row r="193">
      <c r="A193" s="24" t="n">
        <v>46268.47326914352</v>
      </c>
      <c r="B193" s="0" t="inlineStr">
        <is>
          <t>PERMIFY-3136</t>
        </is>
      </c>
      <c r="C193" s="0" t="inlineStr">
        <is>
          <t>Algora / Stripe</t>
        </is>
      </c>
      <c r="D193" s="0" t="inlineStr">
        <is>
          <t>Permify (PR #3136: entity tuple validation regression tests)</t>
        </is>
      </c>
      <c r="E193" s="18" t="n">
        <v>250</v>
      </c>
      <c r="F193" s="18" t="n">
        <v>0</v>
      </c>
      <c r="G193" s="18" t="n">
        <v>250</v>
      </c>
      <c r="H193" s="0" t="inlineStr">
        <is>
          <t>Bounty Revenue</t>
        </is>
      </c>
      <c r="I193" s="0" t="inlineStr">
        <is>
          <t>Pending Merge</t>
        </is>
      </c>
    </row>
    <row r="194">
      <c r="A194" s="24" t="n">
        <v>46268.47326914352</v>
      </c>
      <c r="B194" s="0" t="inlineStr">
        <is>
          <t>PD-SUB-1853</t>
        </is>
      </c>
      <c r="C194" s="0" t="inlineStr">
        <is>
          <t>Algora / Stripe</t>
        </is>
      </c>
      <c r="D194" s="0" t="inlineStr">
        <is>
          <t>ProjectDiscovery (PR #1853: subdomain extraction boundary tests in subfinder)</t>
        </is>
      </c>
      <c r="E194" s="18" t="n">
        <v>200</v>
      </c>
      <c r="F194" s="18" t="n">
        <v>0</v>
      </c>
      <c r="G194" s="18" t="n">
        <v>200</v>
      </c>
      <c r="H194" s="0" t="inlineStr">
        <is>
          <t>Bounty Revenue</t>
        </is>
      </c>
      <c r="I194" s="0" t="inlineStr">
        <is>
          <t>Pending Merge</t>
        </is>
      </c>
    </row>
    <row r="195">
      <c r="A195" s="24" t="n">
        <v>46268.47326914352</v>
      </c>
      <c r="B195" s="0" t="inlineStr">
        <is>
          <t>PD-KATANA-1806</t>
        </is>
      </c>
      <c r="C195" s="0" t="inlineStr">
        <is>
          <t>Algora / Stripe</t>
        </is>
      </c>
      <c r="D195" s="0" t="inlineStr">
        <is>
          <t>ProjectDiscovery (PR #1806: robotstxt crawler boundary tests in katana)</t>
        </is>
      </c>
      <c r="E195" s="18" t="n">
        <v>200</v>
      </c>
      <c r="F195" s="18" t="n">
        <v>0</v>
      </c>
      <c r="G195" s="18" t="n">
        <v>200</v>
      </c>
      <c r="H195" s="0" t="inlineStr">
        <is>
          <t>Bounty Revenue</t>
        </is>
      </c>
      <c r="I195" s="0" t="inlineStr">
        <is>
          <t>Pending Merge</t>
        </is>
      </c>
    </row>
    <row r="196">
      <c r="A196" s="24" t="n">
        <v>46268.47326914352</v>
      </c>
      <c r="B196" s="0" t="inlineStr">
        <is>
          <t>LILLY-STELLAR-339</t>
        </is>
      </c>
      <c r="C196" s="0" t="inlineStr">
        <is>
          <t>Stellar / Algora</t>
        </is>
      </c>
      <c r="D196" s="0" t="inlineStr">
        <is>
          <t>Lilly-Protocol (PR #339: Soroban access controller authorization tests)</t>
        </is>
      </c>
      <c r="E196" s="18" t="n">
        <v>250</v>
      </c>
      <c r="F196" s="18" t="n">
        <v>0</v>
      </c>
      <c r="G196" s="18" t="n">
        <v>250</v>
      </c>
      <c r="H196" s="0" t="inlineStr">
        <is>
          <t>Bounty Revenue</t>
        </is>
      </c>
      <c r="I196" s="0" t="inlineStr">
        <is>
          <t>Pending Merge</t>
        </is>
      </c>
    </row>
    <row r="197">
      <c r="A197" s="24" t="n">
        <v>46268.47326914352</v>
      </c>
      <c r="B197" s="0" t="inlineStr">
        <is>
          <t>TS-CIRCUIT-1059</t>
        </is>
      </c>
      <c r="C197" s="0" t="inlineStr">
        <is>
          <t>Algora / Stripe</t>
        </is>
      </c>
      <c r="D197" s="0" t="inlineStr">
        <is>
          <t>tscircuit (PR #1059: two-pin terminal stub routing tests in schematic solver)</t>
        </is>
      </c>
      <c r="E197" s="18" t="n">
        <v>150</v>
      </c>
      <c r="F197" s="18" t="n">
        <v>0</v>
      </c>
      <c r="G197" s="18" t="n">
        <v>150</v>
      </c>
      <c r="H197" s="0" t="inlineStr">
        <is>
          <t>Bounty Revenue</t>
        </is>
      </c>
      <c r="I197" s="0" t="inlineStr">
        <is>
          <t>Pending Merge</t>
        </is>
      </c>
    </row>
    <row r="198">
      <c r="A198" s="24" t="n">
        <v>46268.48234512731</v>
      </c>
      <c r="B198" s="0" t="inlineStr">
        <is>
          <t>PD-DNSX-1027</t>
        </is>
      </c>
      <c r="C198" s="0" t="inlineStr">
        <is>
          <t>Algora / Stripe</t>
        </is>
      </c>
      <c r="D198" s="0" t="inlineStr">
        <is>
          <t>ProjectDiscovery (PR #1027: wildcard domain normalization and stream filter tests in dnsx)</t>
        </is>
      </c>
      <c r="E198" s="18" t="n">
        <v>200</v>
      </c>
      <c r="F198" s="18" t="n">
        <v>0</v>
      </c>
      <c r="G198" s="18" t="n">
        <v>200</v>
      </c>
      <c r="H198" s="0" t="inlineStr">
        <is>
          <t>Bounty Revenue</t>
        </is>
      </c>
      <c r="I198" s="0" t="inlineStr">
        <is>
          <t>Pending Merge</t>
        </is>
      </c>
    </row>
    <row r="199">
      <c r="A199" s="24" t="n">
        <v>46268.48234512731</v>
      </c>
      <c r="B199" s="0" t="inlineStr">
        <is>
          <t>PD-HTTPX-2578</t>
        </is>
      </c>
      <c r="C199" s="0" t="inlineStr">
        <is>
          <t>Algora / Stripe</t>
        </is>
      </c>
      <c r="D199" s="0" t="inlineStr">
        <is>
          <t>ProjectDiscovery (PR #2578: cookie parser edge cases and token boundary tests in httpx)</t>
        </is>
      </c>
      <c r="E199" s="18" t="n">
        <v>200</v>
      </c>
      <c r="F199" s="18" t="n">
        <v>0</v>
      </c>
      <c r="G199" s="18" t="n">
        <v>200</v>
      </c>
      <c r="H199" s="0" t="inlineStr">
        <is>
          <t>Bounty Revenue</t>
        </is>
      </c>
      <c r="I199" s="0" t="inlineStr">
        <is>
          <t>Pending Merge</t>
        </is>
      </c>
    </row>
    <row r="200">
      <c r="A200" s="24" t="n">
        <v>46268.48234512731</v>
      </c>
      <c r="B200" s="0" t="inlineStr">
        <is>
          <t>TS-CORE-3629</t>
        </is>
      </c>
      <c r="C200" s="0" t="inlineStr">
        <is>
          <t>Algora / Stripe</t>
        </is>
      </c>
      <c r="D200" s="0" t="inlineStr">
        <is>
          <t>tscircuit (PR #3629: createElement circuit component assertions in core)</t>
        </is>
      </c>
      <c r="E200" s="18" t="n">
        <v>200</v>
      </c>
      <c r="F200" s="18" t="n">
        <v>0</v>
      </c>
      <c r="G200" s="18" t="n">
        <v>200</v>
      </c>
      <c r="H200" s="0" t="inlineStr">
        <is>
          <t>Bounty Revenue</t>
        </is>
      </c>
      <c r="I200" s="0" t="inlineStr">
        <is>
          <t>Pending Merge</t>
        </is>
      </c>
    </row>
    <row r="201">
      <c r="A201" s="24" t="n">
        <v>46268.48234512731</v>
      </c>
      <c r="B201" s="0" t="inlineStr">
        <is>
          <t>PERMIFY-3137</t>
        </is>
      </c>
      <c r="C201" s="0" t="inlineStr">
        <is>
          <t>Algora / Stripe</t>
        </is>
      </c>
      <c r="D201" s="0" t="inlineStr">
        <is>
          <t>Permify (PR #3137: entity tuple validation regression tests)</t>
        </is>
      </c>
      <c r="E201" s="18" t="n">
        <v>250</v>
      </c>
      <c r="F201" s="18" t="n">
        <v>0</v>
      </c>
      <c r="G201" s="18" t="n">
        <v>250</v>
      </c>
      <c r="H201" s="0" t="inlineStr">
        <is>
          <t>Bounty Revenue</t>
        </is>
      </c>
      <c r="I201" s="0" t="inlineStr">
        <is>
          <t>Pending Merge</t>
        </is>
      </c>
    </row>
    <row r="202">
      <c r="A202" s="24" t="n">
        <v>46268.48234512731</v>
      </c>
      <c r="B202" s="0" t="inlineStr">
        <is>
          <t>LILLY-STELLAR-340</t>
        </is>
      </c>
      <c r="C202" s="0" t="inlineStr">
        <is>
          <t>Stellar / Algora</t>
        </is>
      </c>
      <c r="D202" s="0" t="inlineStr">
        <is>
          <t>Lilly-Protocol (PR #340: Soroban access controller authorization tests)</t>
        </is>
      </c>
      <c r="E202" s="18" t="n">
        <v>250</v>
      </c>
      <c r="F202" s="18" t="n">
        <v>0</v>
      </c>
      <c r="G202" s="18" t="n">
        <v>250</v>
      </c>
      <c r="H202" s="0" t="inlineStr">
        <is>
          <t>Bounty Revenue</t>
        </is>
      </c>
      <c r="I202" s="0" t="inlineStr">
        <is>
          <t>Pending Merge</t>
        </is>
      </c>
    </row>
    <row r="203">
      <c r="A203" s="24" t="n">
        <v>46268.64268211806</v>
      </c>
      <c r="B203" s="0" t="inlineStr">
        <is>
          <t>PD-NUCLEI-7701</t>
        </is>
      </c>
      <c r="C203" s="0" t="inlineStr">
        <is>
          <t>Algora / Stripe</t>
        </is>
      </c>
      <c r="D203" s="0" t="inlineStr">
        <is>
          <t>ProjectDiscovery (PR #7701: standard request writer trace assertions in nuclei)</t>
        </is>
      </c>
      <c r="E203" s="18" t="n">
        <v>250</v>
      </c>
      <c r="F203" s="18" t="n">
        <v>0</v>
      </c>
      <c r="G203" s="18" t="n">
        <v>250</v>
      </c>
      <c r="H203" s="0" t="inlineStr">
        <is>
          <t>Bounty Revenue</t>
        </is>
      </c>
      <c r="I203" s="0" t="inlineStr">
        <is>
          <t>Pending Merge</t>
        </is>
      </c>
    </row>
    <row r="204">
      <c r="A204" s="24" t="n">
        <v>46268.64268211806</v>
      </c>
      <c r="B204" s="0" t="inlineStr">
        <is>
          <t>LILLY-FRONTEND-540</t>
        </is>
      </c>
      <c r="C204" s="0" t="inlineStr">
        <is>
          <t>Stellar / Algora</t>
        </is>
      </c>
      <c r="D204" s="0" t="inlineStr">
        <is>
          <t>Lilly-Protocol (PR #540: route map and static sitemap assertions in lily-frontend)</t>
        </is>
      </c>
      <c r="E204" s="18" t="n">
        <v>200</v>
      </c>
      <c r="F204" s="18" t="n">
        <v>0</v>
      </c>
      <c r="G204" s="18" t="n">
        <v>200</v>
      </c>
      <c r="H204" s="0" t="inlineStr">
        <is>
          <t>Bounty Revenue</t>
        </is>
      </c>
      <c r="I204" s="0" t="inlineStr">
        <is>
          <t>Pending Merge</t>
        </is>
      </c>
    </row>
    <row r="205">
      <c r="A205" s="24" t="n">
        <v>46268.64268211806</v>
      </c>
      <c r="B205" s="0" t="inlineStr">
        <is>
          <t>PD-DNSX-1028</t>
        </is>
      </c>
      <c r="C205" s="0" t="inlineStr">
        <is>
          <t>Algora / Stripe</t>
        </is>
      </c>
      <c r="D205" s="0" t="inlineStr">
        <is>
          <t>ProjectDiscovery (PR #1028: template field mapping and output formatting tests in dnsx)</t>
        </is>
      </c>
      <c r="E205" s="18" t="n">
        <v>200</v>
      </c>
      <c r="F205" s="18" t="n">
        <v>0</v>
      </c>
      <c r="G205" s="18" t="n">
        <v>200</v>
      </c>
      <c r="H205" s="0" t="inlineStr">
        <is>
          <t>Bounty Revenue</t>
        </is>
      </c>
      <c r="I205" s="0" t="inlineStr">
        <is>
          <t>Pending Merge</t>
        </is>
      </c>
    </row>
    <row r="206">
      <c r="A206" s="24" t="n">
        <v>46268.64268211806</v>
      </c>
      <c r="B206" s="0" t="inlineStr">
        <is>
          <t>PD-HTTPX-2579</t>
        </is>
      </c>
      <c r="C206" s="0" t="inlineStr">
        <is>
          <t>Algora / Stripe</t>
        </is>
      </c>
      <c r="D206" s="0" t="inlineStr">
        <is>
          <t>ProjectDiscovery (PR #2579: cookie parse delimiter assertions in httpx)</t>
        </is>
      </c>
      <c r="E206" s="18" t="n">
        <v>200</v>
      </c>
      <c r="F206" s="18" t="n">
        <v>0</v>
      </c>
      <c r="G206" s="18" t="n">
        <v>200</v>
      </c>
      <c r="H206" s="0" t="inlineStr">
        <is>
          <t>Bounty Revenue</t>
        </is>
      </c>
      <c r="I206" s="0" t="inlineStr">
        <is>
          <t>Pending Merge</t>
        </is>
      </c>
    </row>
    <row r="207">
      <c r="A207" s="24" t="n">
        <v>46268.64268211806</v>
      </c>
      <c r="B207" s="0" t="inlineStr">
        <is>
          <t>TS-CORE-3631</t>
        </is>
      </c>
      <c r="C207" s="0" t="inlineStr">
        <is>
          <t>Algora / Stripe</t>
        </is>
      </c>
      <c r="D207" s="0" t="inlineStr">
        <is>
          <t>tscircuit (PR #3631: createElement JSX runtime assertions in core)</t>
        </is>
      </c>
      <c r="E207" s="18" t="n">
        <v>200</v>
      </c>
      <c r="F207" s="18" t="n">
        <v>0</v>
      </c>
      <c r="G207" s="18" t="n">
        <v>200</v>
      </c>
      <c r="H207" s="0" t="inlineStr">
        <is>
          <t>Bounty Revenue</t>
        </is>
      </c>
      <c r="I207" s="0" t="inlineStr">
        <is>
          <t>Pending Merge</t>
        </is>
      </c>
    </row>
    <row r="208">
      <c r="A208" s="24" t="n">
        <v>46268.66289142361</v>
      </c>
      <c r="B208" s="0" t="inlineStr">
        <is>
          <t>PD-NUCLEI-7702</t>
        </is>
      </c>
      <c r="C208" s="0" t="inlineStr">
        <is>
          <t>Algora / Stripe</t>
        </is>
      </c>
      <c r="D208" s="0" t="inlineStr">
        <is>
          <t>ProjectDiscovery (PR #7702: request writer error trace formatting in nuclei)</t>
        </is>
      </c>
      <c r="E208" s="18" t="n">
        <v>250</v>
      </c>
      <c r="F208" s="18" t="n">
        <v>0</v>
      </c>
      <c r="G208" s="18" t="n">
        <v>250</v>
      </c>
      <c r="H208" s="0" t="inlineStr">
        <is>
          <t>Bounty Revenue</t>
        </is>
      </c>
      <c r="I208" s="0" t="inlineStr">
        <is>
          <t>Pending Merge</t>
        </is>
      </c>
    </row>
    <row r="209">
      <c r="A209" s="24" t="n">
        <v>46268.66289142361</v>
      </c>
      <c r="B209" s="0" t="inlineStr">
        <is>
          <t>PD-DNSX-1029</t>
        </is>
      </c>
      <c r="C209" s="0" t="inlineStr">
        <is>
          <t>Algora / Stripe</t>
        </is>
      </c>
      <c r="D209" s="0" t="inlineStr">
        <is>
          <t>ProjectDiscovery (PR #1029: stringify template value assertions in dnsx)</t>
        </is>
      </c>
      <c r="E209" s="18" t="n">
        <v>200</v>
      </c>
      <c r="F209" s="18" t="n">
        <v>0</v>
      </c>
      <c r="G209" s="18" t="n">
        <v>200</v>
      </c>
      <c r="H209" s="0" t="inlineStr">
        <is>
          <t>Bounty Revenue</t>
        </is>
      </c>
      <c r="I209" s="0" t="inlineStr">
        <is>
          <t>Pending Merge</t>
        </is>
      </c>
    </row>
    <row r="210">
      <c r="A210" s="24" t="n">
        <v>46268.66289142361</v>
      </c>
      <c r="B210" s="0" t="inlineStr">
        <is>
          <t>PD-HTTPX-2581</t>
        </is>
      </c>
      <c r="C210" s="0" t="inlineStr">
        <is>
          <t>Algora / Stripe</t>
        </is>
      </c>
      <c r="D210" s="0" t="inlineStr">
        <is>
          <t>ProjectDiscovery (PR #2581: secret validation edge case assertions in httpx)</t>
        </is>
      </c>
      <c r="E210" s="18" t="n">
        <v>200</v>
      </c>
      <c r="F210" s="18" t="n">
        <v>0</v>
      </c>
      <c r="G210" s="18" t="n">
        <v>200</v>
      </c>
      <c r="H210" s="0" t="inlineStr">
        <is>
          <t>Bounty Revenue</t>
        </is>
      </c>
      <c r="I210" s="0" t="inlineStr">
        <is>
          <t>Pending Merge</t>
        </is>
      </c>
    </row>
    <row r="211">
      <c r="A211" s="24" t="n">
        <v>46268.66289142361</v>
      </c>
      <c r="B211" s="0" t="inlineStr">
        <is>
          <t>TS-CORE-3632</t>
        </is>
      </c>
      <c r="C211" s="0" t="inlineStr">
        <is>
          <t>Algora / Stripe</t>
        </is>
      </c>
      <c r="D211" s="0" t="inlineStr">
        <is>
          <t>tscircuit (PR #3632: createElement JSX runtime assertion specs in core)</t>
        </is>
      </c>
      <c r="E211" s="18" t="n">
        <v>200</v>
      </c>
      <c r="F211" s="18" t="n">
        <v>0</v>
      </c>
      <c r="G211" s="18" t="n">
        <v>200</v>
      </c>
      <c r="H211" s="0" t="inlineStr">
        <is>
          <t>Bounty Revenue</t>
        </is>
      </c>
      <c r="I211" s="0" t="inlineStr">
        <is>
          <t>Pending Merge</t>
        </is>
      </c>
    </row>
    <row r="212">
      <c r="A212" s="24" t="n">
        <v>46268.66289142361</v>
      </c>
      <c r="B212" s="0" t="inlineStr">
        <is>
          <t>PD-SUBFINDER-1854</t>
        </is>
      </c>
      <c r="C212" s="0" t="inlineStr">
        <is>
          <t>Algora / Stripe</t>
        </is>
      </c>
      <c r="D212" s="0" t="inlineStr">
        <is>
          <t>ProjectDiscovery (PR #1854: response body capping assertions in subfinder)</t>
        </is>
      </c>
      <c r="E212" s="18" t="n">
        <v>200</v>
      </c>
      <c r="F212" s="18" t="n">
        <v>0</v>
      </c>
      <c r="G212" s="18" t="n">
        <v>200</v>
      </c>
      <c r="H212" s="0" t="inlineStr">
        <is>
          <t>Bounty Revenue</t>
        </is>
      </c>
      <c r="I212" s="0" t="inlineStr">
        <is>
          <t>Pending Merge</t>
        </is>
      </c>
    </row>
    <row r="213">
      <c r="A213" s="24" t="n">
        <v>46268.67079978009</v>
      </c>
      <c r="B213" s="0" t="inlineStr">
        <is>
          <t>PD-NUCLEI-7703</t>
        </is>
      </c>
      <c r="C213" s="0" t="inlineStr">
        <is>
          <t>Algora / Stripe</t>
        </is>
      </c>
      <c r="D213" s="0" t="inlineStr">
        <is>
          <t>ProjectDiscovery (PR #7703: output writer trace error wrapping in nuclei)</t>
        </is>
      </c>
      <c r="E213" s="18" t="n">
        <v>250</v>
      </c>
      <c r="F213" s="18" t="n">
        <v>0</v>
      </c>
      <c r="G213" s="18" t="n">
        <v>250</v>
      </c>
      <c r="H213" s="0" t="inlineStr">
        <is>
          <t>Bounty Revenue</t>
        </is>
      </c>
      <c r="I213" s="0" t="inlineStr">
        <is>
          <t>Pending Merge</t>
        </is>
      </c>
    </row>
    <row r="214">
      <c r="A214" s="24" t="n">
        <v>46268.67079978009</v>
      </c>
      <c r="B214" s="0" t="inlineStr">
        <is>
          <t>PD-DNSX-1030</t>
        </is>
      </c>
      <c r="C214" s="0" t="inlineStr">
        <is>
          <t>Algora / Stripe</t>
        </is>
      </c>
      <c r="D214" s="0" t="inlineStr">
        <is>
          <t>ProjectDiscovery (PR #1030: template field extraction specs in dnsx)</t>
        </is>
      </c>
      <c r="E214" s="18" t="n">
        <v>200</v>
      </c>
      <c r="F214" s="18" t="n">
        <v>0</v>
      </c>
      <c r="G214" s="18" t="n">
        <v>200</v>
      </c>
      <c r="H214" s="0" t="inlineStr">
        <is>
          <t>Bounty Revenue</t>
        </is>
      </c>
      <c r="I214" s="0" t="inlineStr">
        <is>
          <t>Pending Merge</t>
        </is>
      </c>
    </row>
    <row r="215">
      <c r="A215" s="24" t="n">
        <v>46268.67079978009</v>
      </c>
      <c r="B215" s="0" t="inlineStr">
        <is>
          <t>PD-HTTPX-2582</t>
        </is>
      </c>
      <c r="C215" s="0" t="inlineStr">
        <is>
          <t>Algora / Stripe</t>
        </is>
      </c>
      <c r="D215" s="0" t="inlineStr">
        <is>
          <t>ProjectDiscovery (PR #2582: basic auth strategy apply assertions in httpx)</t>
        </is>
      </c>
      <c r="E215" s="18" t="n">
        <v>200</v>
      </c>
      <c r="F215" s="18" t="n">
        <v>0</v>
      </c>
      <c r="G215" s="18" t="n">
        <v>200</v>
      </c>
      <c r="H215" s="0" t="inlineStr">
        <is>
          <t>Bounty Revenue</t>
        </is>
      </c>
      <c r="I215" s="0" t="inlineStr">
        <is>
          <t>Pending Merge</t>
        </is>
      </c>
    </row>
    <row r="216">
      <c r="A216" s="24" t="n">
        <v>46268.67079978009</v>
      </c>
      <c r="B216" s="0" t="inlineStr">
        <is>
          <t>TS-CORE-3633</t>
        </is>
      </c>
      <c r="C216" s="0" t="inlineStr">
        <is>
          <t>Algora / Stripe</t>
        </is>
      </c>
      <c r="D216" s="0" t="inlineStr">
        <is>
          <t>tscircuit (PR #3633: createElement jsx component dispatch in core)</t>
        </is>
      </c>
      <c r="E216" s="18" t="n">
        <v>200</v>
      </c>
      <c r="F216" s="18" t="n">
        <v>0</v>
      </c>
      <c r="G216" s="18" t="n">
        <v>200</v>
      </c>
      <c r="H216" s="0" t="inlineStr">
        <is>
          <t>Bounty Revenue</t>
        </is>
      </c>
      <c r="I216" s="0" t="inlineStr">
        <is>
          <t>Pending Merge</t>
        </is>
      </c>
    </row>
    <row r="217">
      <c r="A217" s="24" t="n">
        <v>46268.67079978009</v>
      </c>
      <c r="B217" s="0" t="inlineStr">
        <is>
          <t>LILLY-CONTRACTS-348</t>
        </is>
      </c>
      <c r="C217" s="0" t="inlineStr">
        <is>
          <t>Algora / Stripe</t>
        </is>
      </c>
      <c r="D217" s="0" t="inlineStr">
        <is>
          <t>Lilly-Protocol (PR #348: unregistered agent get profile assertion in lily-contracts)</t>
        </is>
      </c>
      <c r="E217" s="18" t="n">
        <v>250</v>
      </c>
      <c r="F217" s="18" t="n">
        <v>0</v>
      </c>
      <c r="G217" s="18" t="n">
        <v>250</v>
      </c>
      <c r="H217" s="0" t="inlineStr">
        <is>
          <t>Bounty Revenue</t>
        </is>
      </c>
      <c r="I217" s="0" t="inlineStr">
        <is>
          <t>Pending Merge</t>
        </is>
      </c>
    </row>
    <row r="218">
      <c r="A218" s="24" t="n">
        <v>46268</v>
      </c>
      <c r="B218" s="0" t="inlineStr">
        <is>
          <t>AP-101</t>
        </is>
      </c>
      <c r="C218" s="0" t="inlineStr">
        <is>
          <t>Algora / Stripe</t>
        </is>
      </c>
      <c r="D218" s="0" t="inlineStr">
        <is>
          <t>Activepieces activepieces (PR #14850: Exclude pnpm and yarn lockfiles in size check)</t>
        </is>
      </c>
      <c r="E218" s="18" t="n">
        <v>200</v>
      </c>
      <c r="F218" s="18" t="n">
        <v>0</v>
      </c>
      <c r="G218" s="18" t="n">
        <v>200</v>
      </c>
      <c r="H218" s="0" t="inlineStr">
        <is>
          <t>Bounty Revenue</t>
        </is>
      </c>
      <c r="I218" s="0" t="inlineStr">
        <is>
          <t>In Review</t>
        </is>
      </c>
    </row>
    <row r="219">
      <c r="A219" s="24" t="n">
        <v>46268</v>
      </c>
      <c r="B219" s="0" t="inlineStr">
        <is>
          <t>TW-003</t>
        </is>
      </c>
      <c r="C219" s="0" t="inlineStr">
        <is>
          <t>Algora / Stripe</t>
        </is>
      </c>
      <c r="D219" s="0" t="inlineStr">
        <is>
          <t>Twenty CRM twenty (PR #11280: Support numeric and boolean arrays in formatSqlValue)</t>
        </is>
      </c>
      <c r="E219" s="18" t="n">
        <v>200</v>
      </c>
      <c r="F219" s="18" t="n">
        <v>0</v>
      </c>
      <c r="G219" s="18" t="n">
        <v>200</v>
      </c>
      <c r="H219" s="0" t="inlineStr">
        <is>
          <t>Bounty Revenue</t>
        </is>
      </c>
      <c r="I219" s="0" t="inlineStr">
        <is>
          <t>In Review</t>
        </is>
      </c>
    </row>
    <row r="220">
      <c r="A220" s="24" t="n">
        <v>46268</v>
      </c>
      <c r="B220" s="0" t="inlineStr">
        <is>
          <t>CAL-002</t>
        </is>
      </c>
      <c r="C220" s="0" t="inlineStr">
        <is>
          <t>Algora / Stripe</t>
        </is>
      </c>
      <c r="D220" s="0" t="inlineStr">
        <is>
          <t>Cal.com cal.com (PR #17420: Slugify display input and multi-delimiter handling)</t>
        </is>
      </c>
      <c r="E220" s="18" t="n">
        <v>200</v>
      </c>
      <c r="F220" s="18" t="n">
        <v>0</v>
      </c>
      <c r="G220" s="18" t="n">
        <v>200</v>
      </c>
      <c r="H220" s="0" t="inlineStr">
        <is>
          <t>Bounty Revenue</t>
        </is>
      </c>
      <c r="I220" s="0" t="inlineStr">
        <is>
          <t>In Review</t>
        </is>
      </c>
    </row>
    <row r="221">
      <c r="A221" s="24" t="n">
        <v>46268</v>
      </c>
      <c r="B221" s="0" t="inlineStr">
        <is>
          <t>PD-9301</t>
        </is>
      </c>
      <c r="C221" s="0" t="inlineStr">
        <is>
          <t>Algora / Stripe</t>
        </is>
      </c>
      <c r="D221" s="0" t="inlineStr">
        <is>
          <t>ProjectDiscovery nuclei (PR #6540: Add GetAllValues snapshot method for engine metrics)</t>
        </is>
      </c>
      <c r="E221" s="18" t="n">
        <v>200</v>
      </c>
      <c r="F221" s="18" t="n">
        <v>0</v>
      </c>
      <c r="G221" s="18" t="n">
        <v>200</v>
      </c>
      <c r="H221" s="0" t="inlineStr">
        <is>
          <t>Bounty Revenue</t>
        </is>
      </c>
      <c r="I221" s="0" t="inlineStr">
        <is>
          <t>In Review</t>
        </is>
      </c>
    </row>
    <row r="222">
      <c r="A222" s="24" t="n">
        <v>46268</v>
      </c>
      <c r="B222" s="0" t="inlineStr">
        <is>
          <t>TSC-109</t>
        </is>
      </c>
      <c r="C222" s="0" t="inlineStr">
        <is>
          <t>Algora / Stripe</t>
        </is>
      </c>
      <c r="D222" s="0" t="inlineStr">
        <is>
          <t>TSCircuit core (PR #890: 4-way cross junction verification for same-net traces)</t>
        </is>
      </c>
      <c r="E222" s="18" t="n">
        <v>200</v>
      </c>
      <c r="F222" s="18" t="n">
        <v>0</v>
      </c>
      <c r="G222" s="18" t="n">
        <v>200</v>
      </c>
      <c r="H222" s="0" t="inlineStr">
        <is>
          <t>Bounty Revenue</t>
        </is>
      </c>
      <c r="I222" s="0" t="inlineStr">
        <is>
          <t>In Review</t>
        </is>
      </c>
    </row>
    <row r="223">
      <c r="A223" s="24" t="n">
        <v>46268</v>
      </c>
      <c r="B223" t="inlineStr">
        <is>
          <t>FORM-4812</t>
        </is>
      </c>
      <c r="C223" t="inlineStr">
        <is>
          <t>Algora / Stripe</t>
        </is>
      </c>
      <c r="D223" t="inlineStr">
        <is>
          <t>Formbricks formbricks (PR #4812: Survey response multi-select filter logic &amp; schema validation specs)</t>
        </is>
      </c>
      <c r="E223" s="18" t="n">
        <v>200</v>
      </c>
      <c r="F223" s="18" t="n">
        <v>0</v>
      </c>
      <c r="G223" s="18" t="n">
        <v>200</v>
      </c>
      <c r="H223" t="inlineStr">
        <is>
          <t>Bounty Revenue</t>
        </is>
      </c>
      <c r="I223" t="inlineStr">
        <is>
          <t>In Review</t>
        </is>
      </c>
    </row>
    <row r="224">
      <c r="A224" s="24" t="n">
        <v>46268</v>
      </c>
      <c r="B224" t="inlineStr">
        <is>
          <t>NOVU-7420</t>
        </is>
      </c>
      <c r="C224" t="inlineStr">
        <is>
          <t>Algora / Stripe</t>
        </is>
      </c>
      <c r="D224" t="inlineStr">
        <is>
          <t>Novu novu (PR #7420: Workflow delay step trigger boundary validation assertions)</t>
        </is>
      </c>
      <c r="E224" s="18" t="n">
        <v>200</v>
      </c>
      <c r="F224" s="18" t="n">
        <v>0</v>
      </c>
      <c r="G224" s="18" t="n">
        <v>200</v>
      </c>
      <c r="H224" t="inlineStr">
        <is>
          <t>Bounty Revenue</t>
        </is>
      </c>
      <c r="I224" t="inlineStr">
        <is>
          <t>In Review</t>
        </is>
      </c>
    </row>
    <row r="225">
      <c r="A225" s="24" t="n">
        <v>46268</v>
      </c>
      <c r="B225" t="inlineStr">
        <is>
          <t>INFIS-3910</t>
        </is>
      </c>
      <c r="C225" t="inlineStr">
        <is>
          <t>Algora / Stripe</t>
        </is>
      </c>
      <c r="D225" t="inlineStr">
        <is>
          <t>Infisical infisical (PR #3910: Secret environment resolution &amp; fallback error specs)</t>
        </is>
      </c>
      <c r="E225" s="18" t="n">
        <v>200</v>
      </c>
      <c r="F225" s="18" t="n">
        <v>0</v>
      </c>
      <c r="G225" s="18" t="n">
        <v>200</v>
      </c>
      <c r="H225" t="inlineStr">
        <is>
          <t>Bounty Revenue</t>
        </is>
      </c>
      <c r="I225" t="inlineStr">
        <is>
          <t>In Review</t>
        </is>
      </c>
    </row>
    <row r="226">
      <c r="A226" s="24" t="n">
        <v>46268</v>
      </c>
      <c r="B226" t="inlineStr">
        <is>
          <t>POST-29850</t>
        </is>
      </c>
      <c r="C226" t="inlineStr">
        <is>
          <t>Algora / Stripe</t>
        </is>
      </c>
      <c r="D226" t="inlineStr">
        <is>
          <t>PostHog posthog (PR #29850: Ingestion timestamp boundary normalization assertions)</t>
        </is>
      </c>
      <c r="E226" s="18" t="n">
        <v>200</v>
      </c>
      <c r="F226" s="18" t="n">
        <v>0</v>
      </c>
      <c r="G226" s="18" t="n">
        <v>200</v>
      </c>
      <c r="H226" t="inlineStr">
        <is>
          <t>Bounty Revenue</t>
        </is>
      </c>
      <c r="I226" t="inlineStr">
        <is>
          <t>In Review</t>
        </is>
      </c>
    </row>
    <row r="227">
      <c r="A227" s="24" t="n">
        <v>46268</v>
      </c>
      <c r="B227" t="inlineStr">
        <is>
          <t>CHAT-10840</t>
        </is>
      </c>
      <c r="C227" t="inlineStr">
        <is>
          <t>Algora / Stripe</t>
        </is>
      </c>
      <c r="D227" t="inlineStr">
        <is>
          <t>Chatwoot chatwoot (PR #10840: Conversation webhook dispatch retry &amp; timeout specifications)</t>
        </is>
      </c>
      <c r="E227" s="18" t="n">
        <v>200</v>
      </c>
      <c r="F227" s="18" t="n">
        <v>0</v>
      </c>
      <c r="G227" s="18" t="n">
        <v>200</v>
      </c>
      <c r="H227" t="inlineStr">
        <is>
          <t>Bounty Revenue</t>
        </is>
      </c>
      <c r="I227" t="inlineStr">
        <is>
          <t>In Review</t>
        </is>
      </c>
    </row>
    <row r="228">
      <c r="E228" s="18" t="n"/>
      <c r="F228" s="18" t="n"/>
      <c r="G228" s="18" t="n"/>
    </row>
    <row r="229">
      <c r="E229" s="18" t="n"/>
      <c r="F229" s="18" t="n"/>
      <c r="G229" s="18" t="n"/>
    </row>
    <row r="230">
      <c r="E230" s="18" t="n"/>
      <c r="F230" s="18" t="n"/>
      <c r="G230" s="18" t="n"/>
    </row>
    <row r="231">
      <c r="E231" s="18" t="n"/>
      <c r="F231" s="18" t="n"/>
      <c r="G231" s="18" t="n"/>
    </row>
    <row r="232">
      <c r="E232" s="18" t="n"/>
      <c r="F232" s="18" t="n"/>
      <c r="G232" s="18" t="n"/>
    </row>
    <row r="233">
      <c r="E233" s="18" t="n"/>
      <c r="F233" s="18" t="n"/>
      <c r="G233" s="18" t="n"/>
    </row>
    <row r="234">
      <c r="E234" s="18" t="n"/>
      <c r="F234" s="18" t="n"/>
      <c r="G234" s="18" t="n"/>
    </row>
    <row r="235">
      <c r="E235" s="18" t="n"/>
      <c r="F235" s="18" t="n"/>
      <c r="G235" s="18" t="n"/>
    </row>
    <row r="236">
      <c r="E236" s="18" t="n"/>
      <c r="F236" s="18" t="n"/>
      <c r="G236" s="18" t="n"/>
    </row>
    <row r="237">
      <c r="E237" s="18" t="n"/>
      <c r="F237" s="18" t="n"/>
      <c r="G237" s="18" t="n"/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  <row r="981">
      <c r="A981" s="24" t="n"/>
      <c r="B981" s="0" t="n"/>
      <c r="C981" s="0" t="n"/>
      <c r="D981" s="0" t="n"/>
      <c r="E981" s="0" t="n"/>
      <c r="F981" s="0" t="n"/>
      <c r="G981" s="0" t="n"/>
      <c r="H981" s="0" t="n"/>
      <c r="I981" s="0" t="n"/>
    </row>
    <row r="982">
      <c r="A982" s="24" t="n"/>
      <c r="B982" s="0" t="n"/>
      <c r="C982" s="0" t="n"/>
      <c r="D982" s="0" t="n"/>
      <c r="E982" s="0" t="n"/>
      <c r="F982" s="0" t="n"/>
      <c r="G982" s="0" t="n"/>
      <c r="H982" s="0" t="n"/>
      <c r="I982" s="0" t="n"/>
    </row>
    <row r="983">
      <c r="A983" s="24" t="n"/>
      <c r="B983" s="0" t="n"/>
      <c r="C983" s="0" t="n"/>
      <c r="D983" s="0" t="n"/>
      <c r="E983" s="0" t="n"/>
      <c r="F983" s="0" t="n"/>
      <c r="G983" s="0" t="n"/>
      <c r="H983" s="0" t="n"/>
      <c r="I983" s="0" t="n"/>
    </row>
    <row r="984">
      <c r="A984" s="24" t="n"/>
      <c r="B984" s="0" t="n"/>
      <c r="C984" s="0" t="n"/>
      <c r="D984" s="0" t="n"/>
      <c r="E984" s="0" t="n"/>
      <c r="F984" s="0" t="n"/>
      <c r="G984" s="0" t="n"/>
      <c r="H984" s="0" t="n"/>
      <c r="I984" s="0" t="n"/>
    </row>
    <row r="985">
      <c r="A985" s="24" t="n"/>
      <c r="B985" s="0" t="n"/>
      <c r="C985" s="0" t="n"/>
      <c r="D985" s="0" t="n"/>
      <c r="E985" s="0" t="n"/>
      <c r="F985" s="0" t="n"/>
      <c r="G985" s="0" t="n"/>
      <c r="H985" s="0" t="n"/>
      <c r="I985" s="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1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2026-09-04T01:34:38Z</dcterms:modified>
</cp:coreProperties>
</file>